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SOFTWARE ENGINEERING\6th Semester\SQE Lab\"/>
    </mc:Choice>
  </mc:AlternateContent>
  <xr:revisionPtr revIDLastSave="0" documentId="13_ncr:1_{9572EC57-F57F-4E4B-9167-1945E876DE81}" xr6:coauthVersionLast="47" xr6:coauthVersionMax="47" xr10:uidLastSave="{00000000-0000-0000-0000-000000000000}"/>
  <bookViews>
    <workbookView xWindow="-100" yWindow="-100" windowWidth="21467" windowHeight="11576" tabRatio="890" firstSheet="4" activeTab="9" xr2:uid="{00000000-000D-0000-FFFF-FFFF00000000}"/>
  </bookViews>
  <sheets>
    <sheet name="📋 Session Setup" sheetId="1" r:id="rId1"/>
    <sheet name="🔍 Exp A — Walkthrough" sheetId="2" r:id="rId2"/>
    <sheet name="📱 Exp B — App 1 (Ch 1–4)" sheetId="3" r:id="rId3"/>
    <sheet name="📱 Exp C — App 1 (All 8)" sheetId="4" r:id="rId4"/>
    <sheet name="Exp D ---  Walkthrough" sheetId="12" r:id="rId5"/>
    <sheet name="📱 Exp D — App 2 (Ch 1–4) " sheetId="11" r:id="rId6"/>
    <sheet name="📱 Exp D — App 2 (All 8)" sheetId="5" r:id="rId7"/>
    <sheet name="📊 Exp D — Comparative" sheetId="6" r:id="rId8"/>
    <sheet name="💡 Recommendations" sheetId="7" r:id="rId9"/>
    <sheet name="📄 Report Outline" sheetId="8" r:id="rId10"/>
    <sheet name="🏆 Grading Rubric" sheetId="9" r:id="rId11"/>
    <sheet name="📖 ISO 25010 Reference" sheetId="10" r:id="rId12"/>
  </sheets>
  <calcPr calcId="191029"/>
  <fileRecoveryPr repairLoad="1"/>
</workbook>
</file>

<file path=xl/calcChain.xml><?xml version="1.0" encoding="utf-8"?>
<calcChain xmlns="http://schemas.openxmlformats.org/spreadsheetml/2006/main">
  <c r="G10" i="6" l="1"/>
  <c r="F23" i="12"/>
  <c r="F22" i="12"/>
  <c r="F21" i="12"/>
  <c r="F20" i="12"/>
  <c r="F19" i="12"/>
  <c r="F18" i="12"/>
  <c r="F17" i="12"/>
  <c r="F16" i="12"/>
  <c r="E13" i="9"/>
  <c r="E31" i="6"/>
  <c r="G31" i="6" s="1"/>
  <c r="D31" i="6"/>
  <c r="F31" i="6" s="1"/>
  <c r="E30" i="6"/>
  <c r="G30" i="6" s="1"/>
  <c r="D30" i="6"/>
  <c r="F30" i="6" s="1"/>
  <c r="E29" i="6"/>
  <c r="G29" i="6" s="1"/>
  <c r="D29" i="6"/>
  <c r="F29" i="6" s="1"/>
  <c r="G28" i="6"/>
  <c r="E28" i="6"/>
  <c r="D28" i="6"/>
  <c r="F28" i="6" s="1"/>
  <c r="G27" i="6"/>
  <c r="E27" i="6"/>
  <c r="D27" i="6"/>
  <c r="F27" i="6" s="1"/>
  <c r="F26" i="6"/>
  <c r="E26" i="6"/>
  <c r="G26" i="6" s="1"/>
  <c r="D26" i="6"/>
  <c r="F25" i="6"/>
  <c r="E25" i="6"/>
  <c r="G25" i="6" s="1"/>
  <c r="D25" i="6"/>
  <c r="E24" i="6"/>
  <c r="G24" i="6" s="1"/>
  <c r="D24" i="6"/>
  <c r="F24" i="6" s="1"/>
  <c r="E19" i="6"/>
  <c r="D19" i="6"/>
  <c r="G17" i="6"/>
  <c r="F17" i="6"/>
  <c r="G16" i="6"/>
  <c r="F16" i="6"/>
  <c r="G15" i="6"/>
  <c r="F15" i="6"/>
  <c r="G14" i="6"/>
  <c r="F14" i="6"/>
  <c r="G13" i="6"/>
  <c r="F13" i="6"/>
  <c r="G12" i="6"/>
  <c r="F12" i="6"/>
  <c r="G11" i="6"/>
  <c r="F11" i="6"/>
  <c r="F10" i="6"/>
  <c r="F20" i="5"/>
  <c r="F19" i="5"/>
  <c r="F18" i="5"/>
  <c r="F17" i="5"/>
  <c r="F16" i="5"/>
  <c r="F15" i="5"/>
  <c r="F14" i="5"/>
  <c r="F13" i="5"/>
  <c r="F20" i="4"/>
  <c r="F19" i="4"/>
  <c r="F18" i="4"/>
  <c r="F17" i="4"/>
  <c r="F16" i="4"/>
  <c r="F15" i="4"/>
  <c r="F14" i="4"/>
  <c r="F13" i="4"/>
  <c r="F23" i="2"/>
  <c r="F22" i="2"/>
  <c r="F21" i="2"/>
  <c r="F20" i="2"/>
  <c r="F19" i="2"/>
  <c r="F18" i="2"/>
  <c r="F17" i="2"/>
  <c r="F16" i="2"/>
  <c r="F19" i="6" l="1"/>
  <c r="F24" i="12"/>
  <c r="G19" i="6"/>
  <c r="F24" i="2"/>
  <c r="F21" i="4"/>
  <c r="F21" i="5"/>
</calcChain>
</file>

<file path=xl/sharedStrings.xml><?xml version="1.0" encoding="utf-8"?>
<sst xmlns="http://schemas.openxmlformats.org/spreadsheetml/2006/main" count="1098" uniqueCount="681">
  <si>
    <t>SQE Lab Session 2 — ISO 25010 Quality Attribute Analysis</t>
  </si>
  <si>
    <t>Software Quality Engineering  |  Lab Manual  |  Engr. Asim Javaid</t>
  </si>
  <si>
    <t xml:space="preserve">  STUDENT INFORMATION</t>
  </si>
  <si>
    <t>Evaluator Full Name</t>
  </si>
  <si>
    <t>Student ID</t>
  </si>
  <si>
    <t>Section / Group</t>
  </si>
  <si>
    <t>Date of Evaluation</t>
  </si>
  <si>
    <t>Device Model</t>
  </si>
  <si>
    <t>OS Version</t>
  </si>
  <si>
    <t>Network Conditions</t>
  </si>
  <si>
    <t xml:space="preserve">  APPLICATION PAIR SELECTION</t>
  </si>
  <si>
    <t>Choose ONE pair below. Circle / highlight your selection.</t>
  </si>
  <si>
    <t>Pair</t>
  </si>
  <si>
    <t>App 1</t>
  </si>
  <si>
    <t>App 2</t>
  </si>
  <si>
    <t>Primary Focus</t>
  </si>
  <si>
    <t>A</t>
  </si>
  <si>
    <t>WhatsApp</t>
  </si>
  <si>
    <t>Telegram</t>
  </si>
  <si>
    <t>Security, Usability, Reliability — closed vs open E2E encryption</t>
  </si>
  <si>
    <t>B</t>
  </si>
  <si>
    <t>Google Maps</t>
  </si>
  <si>
    <t>Apple Maps</t>
  </si>
  <si>
    <t>Performance, Compatibility, Usability — navigation design philosophies</t>
  </si>
  <si>
    <t>C</t>
  </si>
  <si>
    <t>Gmail</t>
  </si>
  <si>
    <t>Outlook Mobile</t>
  </si>
  <si>
    <t>Functional Suitability, Usability, Portability — email client comparison</t>
  </si>
  <si>
    <t>D</t>
  </si>
  <si>
    <t>Chrome Mobile</t>
  </si>
  <si>
    <t>Safari</t>
  </si>
  <si>
    <t>Performance, Compatibility, Security — native vs cross-platform</t>
  </si>
  <si>
    <t>E</t>
  </si>
  <si>
    <t>Spotify</t>
  </si>
  <si>
    <t>YouTube Music</t>
  </si>
  <si>
    <t>Performance, Reliability, Usability — streaming service quality</t>
  </si>
  <si>
    <t>F</t>
  </si>
  <si>
    <t>University App 1</t>
  </si>
  <si>
    <t>University App 2</t>
  </si>
  <si>
    <t>Full ISO 25010 analysis — choose any two university-context apps</t>
  </si>
  <si>
    <t xml:space="preserve">  SELECTED PAIR — Fill in below</t>
  </si>
  <si>
    <t>Pair Letter</t>
  </si>
  <si>
    <t>App 1 Name</t>
  </si>
  <si>
    <t>App 2 Name</t>
  </si>
  <si>
    <t xml:space="preserve">  APP VERSION METADATA</t>
  </si>
  <si>
    <t>Field</t>
  </si>
  <si>
    <t>App Name</t>
  </si>
  <si>
    <t>Version Number</t>
  </si>
  <si>
    <t>Platform</t>
  </si>
  <si>
    <t>Min OS Required</t>
  </si>
  <si>
    <t>App Store Rating</t>
  </si>
  <si>
    <t>Last Updated</t>
  </si>
  <si>
    <t xml:space="preserve">  PRE-LAB CHECKLIST</t>
  </si>
  <si>
    <t>#</t>
  </si>
  <si>
    <t>Task</t>
  </si>
  <si>
    <t>When</t>
  </si>
  <si>
    <t>Status (✓ / ✗)</t>
  </si>
  <si>
    <t>1</t>
  </si>
  <si>
    <t>Read ISO/IEC 25010 Sections 1–4 overview</t>
  </si>
  <si>
    <t>Before Lab</t>
  </si>
  <si>
    <t>2</t>
  </si>
  <si>
    <t>Identify 3 daily apps &amp; note one quality concern each</t>
  </si>
  <si>
    <t>3</t>
  </si>
  <si>
    <t>Ensure both apps in chosen pair are installed on device</t>
  </si>
  <si>
    <t>4</t>
  </si>
  <si>
    <t>Bring device with stopwatch / timer capability</t>
  </si>
  <si>
    <t>Lab Start</t>
  </si>
  <si>
    <t>5</t>
  </si>
  <si>
    <t>Have GitHub repository from Lab 1 open (week2/ folder)</t>
  </si>
  <si>
    <t>6</t>
  </si>
  <si>
    <t>Install matplotlib: pip install matplotlib numpy</t>
  </si>
  <si>
    <t xml:space="preserve">  RATING SCALE QUICK REFERENCE</t>
  </si>
  <si>
    <t>Rating</t>
  </si>
  <si>
    <t>Label</t>
  </si>
  <si>
    <t>Definition</t>
  </si>
  <si>
    <t>Example Evidence</t>
  </si>
  <si>
    <t>Excellent</t>
  </si>
  <si>
    <t>Exceeds expectations. Fully &amp; consistently satisfied.</t>
  </si>
  <si>
    <t>App launches &lt;1s; 2FA enabled; zero crashes in 10-min session</t>
  </si>
  <si>
    <t>Good</t>
  </si>
  <si>
    <t>Mostly satisfied. Minor issues, rarely noticeable.</t>
  </si>
  <si>
    <t>Occasional 2s load; settings menu slightly hard to find</t>
  </si>
  <si>
    <t>Acceptable</t>
  </si>
  <si>
    <t>Partially satisfied. Noticeable but system remains usable.</t>
  </si>
  <si>
    <t>Crashes once per 10 min; offline shows stale data</t>
  </si>
  <si>
    <t>Poor</t>
  </si>
  <si>
    <t>Mostly unsatisfied. Significant issues degrade quality.</t>
  </si>
  <si>
    <t>Crashes twice in 5 min; loading takes 8+ seconds</t>
  </si>
  <si>
    <t>Unacceptable</t>
  </si>
  <si>
    <t>Critical failures. Characteristic essentially absent.</t>
  </si>
  <si>
    <t>Data wiped on restart; cannot perform primary purpose</t>
  </si>
  <si>
    <t>EXPERIMENT A — Instructor Walkthrough (WhatsApp Worked Example)</t>
  </si>
  <si>
    <t>35 min  |  Students OBSERVE and take notes — do NOT evaluate your own pair yet</t>
  </si>
  <si>
    <t xml:space="preserve">  A.1 APPLICATION CONTEXT</t>
  </si>
  <si>
    <t>Developer</t>
  </si>
  <si>
    <t>Version Evaluated</t>
  </si>
  <si>
    <t>2.24.x</t>
  </si>
  <si>
    <t>Device</t>
  </si>
  <si>
    <t>OS</t>
  </si>
  <si>
    <t>Android 13</t>
  </si>
  <si>
    <t>Evaluation Date</t>
  </si>
  <si>
    <t>Primary Purpose</t>
  </si>
  <si>
    <t>Primary Users</t>
  </si>
  <si>
    <t xml:space="preserve">  A.3 COMPLETED EVALUATION CHECKLIST — WhatsApp</t>
  </si>
  <si>
    <t>Quality Characteristic</t>
  </si>
  <si>
    <t>Weight</t>
  </si>
  <si>
    <t>Evidence &amp; Observations</t>
  </si>
  <si>
    <t>Weighted
Contribution</t>
  </si>
  <si>
    <t>1. Functional Suitability</t>
  </si>
  <si>
    <t>15%</t>
  </si>
  <si>
    <t>2. Performance Efficiency</t>
  </si>
  <si>
    <t>12%</t>
  </si>
  <si>
    <t>3. Compatibility</t>
  </si>
  <si>
    <t>10%</t>
  </si>
  <si>
    <t>4. Usability</t>
  </si>
  <si>
    <t>5. Reliability</t>
  </si>
  <si>
    <t>6. Security</t>
  </si>
  <si>
    <t>7. Maintainability</t>
  </si>
  <si>
    <t>8%</t>
  </si>
  <si>
    <t>8. Portability</t>
  </si>
  <si>
    <t xml:space="preserve">  A.5 KEY INSIGHTS — Student Notes</t>
  </si>
  <si>
    <t>Observation</t>
  </si>
  <si>
    <t>Security rated 5 despite being a free app</t>
  </si>
  <si>
    <t>Usability rated 4 despite clean UI</t>
  </si>
  <si>
    <t>Reliability rated 4 despite zero crashes</t>
  </si>
  <si>
    <t>Maintainability hardest to rate externally</t>
  </si>
  <si>
    <t xml:space="preserve">  MY NOTES FROM THE WALKTHROUGH</t>
  </si>
  <si>
    <t>Use this space to record your observations during the instructor demonstration...</t>
  </si>
  <si>
    <t>EXPERIMENT B — App 1 Evaluation (Characteristics 1–4)</t>
  </si>
  <si>
    <t>50 min  |  Individual — use your own device  |  Min. 3 observations per characteristic</t>
  </si>
  <si>
    <t xml:space="preserve">  APP 1 METADATA</t>
  </si>
  <si>
    <t>Start Time</t>
  </si>
  <si>
    <t xml:space="preserve">  B.2 CHARACTERISTIC 1 — Functional Suitability (Weight: 15%)</t>
  </si>
  <si>
    <t>Feature / Use Case to Test</t>
  </si>
  <si>
    <t>How to Test</t>
  </si>
  <si>
    <t>Pass / Fail / Partial</t>
  </si>
  <si>
    <t>Notes</t>
  </si>
  <si>
    <t>Evidence Screenshot</t>
  </si>
  <si>
    <t>Primary core function</t>
  </si>
  <si>
    <t>Perform the app's main purpose (send msg / play song / navigate)</t>
  </si>
  <si>
    <t>Secondary feature 1</t>
  </si>
  <si>
    <t>Test a key secondary feature (e.g. file sharing, playlist creation)</t>
  </si>
  <si>
    <t>Secondary feature 2</t>
  </si>
  <si>
    <t>Test another secondary feature (e.g. voice call, offline maps)</t>
  </si>
  <si>
    <t>Error handling</t>
  </si>
  <si>
    <t>Enter invalid input (empty fields, wrong format). What happens?</t>
  </si>
  <si>
    <t>Edge case</t>
  </si>
  <si>
    <t>Test with extreme inputs (very long text, large file, no internet)</t>
  </si>
  <si>
    <t>CHARACTERISTIC 1 RATING (1–5):</t>
  </si>
  <si>
    <t>Justification:</t>
  </si>
  <si>
    <t xml:space="preserve">  B.3 CHARACTERISTIC 2 — Performance Efficiency (Weight: 12%)</t>
  </si>
  <si>
    <t>Measurement</t>
  </si>
  <si>
    <t>Test Method</t>
  </si>
  <si>
    <t>Your Result</t>
  </si>
  <si>
    <t>Target (Rating 4+)</t>
  </si>
  <si>
    <t>Cold start time</t>
  </si>
  <si>
    <t>Stopwatch: tap app icon → fully usable screen</t>
  </si>
  <si>
    <t>&lt; 3 seconds</t>
  </si>
  <si>
    <t>Key operation 1 (primary)</t>
  </si>
  <si>
    <t>Time the main action (search/send/load feed)</t>
  </si>
  <si>
    <t>&lt; 1 second</t>
  </si>
  <si>
    <t>Key operation 2 (secondary)</t>
  </si>
  <si>
    <t>Time a secondary action (navigate/load image)</t>
  </si>
  <si>
    <t>&lt; 2 seconds</t>
  </si>
  <si>
    <t>Battery drain</t>
  </si>
  <si>
    <t>Device Settings &gt; Battery: % used in 10 min active use</t>
  </si>
  <si>
    <t>&lt; 3%</t>
  </si>
  <si>
    <t>Slow network</t>
  </si>
  <si>
    <t>Switch to 4G only / poor signal — time key operation</t>
  </si>
  <si>
    <t>&lt; 5 seconds</t>
  </si>
  <si>
    <t>Data usage</t>
  </si>
  <si>
    <t>Device Settings &gt; Data: MB used in 10 min active use</t>
  </si>
  <si>
    <t>&lt; 10 MB</t>
  </si>
  <si>
    <t>CHARACTERISTIC 2 RATING (1–5):</t>
  </si>
  <si>
    <t xml:space="preserve">  B.4 CHARACTERISTIC 3 — Compatibility (Weight: 10%)</t>
  </si>
  <si>
    <t>Compatibility Check</t>
  </si>
  <si>
    <t>What to Look For</t>
  </si>
  <si>
    <t>Result</t>
  </si>
  <si>
    <t>Evidence / Screenshot</t>
  </si>
  <si>
    <t>Min OS version</t>
  </si>
  <si>
    <t>Check Play Store / App Store listing for minimum supported OS</t>
  </si>
  <si>
    <t>Platform availability</t>
  </si>
  <si>
    <t>List all platforms: Android, iOS, Windows, macOS, Web, Linux</t>
  </si>
  <si>
    <t>Cross-device sync</t>
  </si>
  <si>
    <t>Log in on a 2nd device — do data &amp; settings appear?</t>
  </si>
  <si>
    <t>Content sharing (in)</t>
  </si>
  <si>
    <t>Can you share content FROM other apps INTO this app?</t>
  </si>
  <si>
    <t>Content sharing (out)</t>
  </si>
  <si>
    <t>Can you share content FROM this app to 3+ other apps?</t>
  </si>
  <si>
    <t>Dark mode support</t>
  </si>
  <si>
    <t>Does the app respect your OS dark mode / accessibility settings?</t>
  </si>
  <si>
    <t>OS version compat.</t>
  </si>
  <si>
    <t>Any features broken on your specific OS version?</t>
  </si>
  <si>
    <t>CHARACTERISTIC 3 RATING (1–5):</t>
  </si>
  <si>
    <t xml:space="preserve">  B.5 CHARACTERISTIC 4 — Usability (Weight: 15%)</t>
  </si>
  <si>
    <t>Task Description</t>
  </si>
  <si>
    <t>Time (sec)</t>
  </si>
  <si>
    <t>Errors Made</t>
  </si>
  <si>
    <t>Completed?</t>
  </si>
  <si>
    <t>Task 1</t>
  </si>
  <si>
    <t>Find and change a core setting (notifications / theme / privacy)</t>
  </si>
  <si>
    <t>Task 2</t>
  </si>
  <si>
    <t>Perform the primary function for the FIRST time (new message / playlist / route)</t>
  </si>
  <si>
    <t>Task 3</t>
  </si>
  <si>
    <t>Find the Help or Support section</t>
  </si>
  <si>
    <t>Task 4</t>
  </si>
  <si>
    <t>Share content FROM this app to another app</t>
  </si>
  <si>
    <t>Task 5</t>
  </si>
  <si>
    <t>Delete an item (message, account entry, saved item)</t>
  </si>
  <si>
    <t xml:space="preserve">  ADDITIONAL USABILITY CHECKS</t>
  </si>
  <si>
    <t>UI Check</t>
  </si>
  <si>
    <t>What to Evaluate</t>
  </si>
  <si>
    <t>Rating Impact</t>
  </si>
  <si>
    <t>Score</t>
  </si>
  <si>
    <t>Error messages</t>
  </si>
  <si>
    <t>Are error messages clear and explain how to fix the issue?</t>
  </si>
  <si>
    <t>Visual hierarchy</t>
  </si>
  <si>
    <t>Is the most important info most prominent on key screens?</t>
  </si>
  <si>
    <t>Onboarding</t>
  </si>
  <si>
    <t>Is there any in-app onboarding / tutorial for new users?</t>
  </si>
  <si>
    <t>Accessibility</t>
  </si>
  <si>
    <t>Does the app support large text, high contrast, screen reader?</t>
  </si>
  <si>
    <t>CHARACTERISTIC 4 RATING (1–5):</t>
  </si>
  <si>
    <t>EXPERIMENT C — App 1 — All 8 ISO 25010 Characteristics</t>
  </si>
  <si>
    <t>Complete all 8 characteristics with rating AND evidence before moving to Exp D</t>
  </si>
  <si>
    <t xml:space="preserve">  APP METADATA</t>
  </si>
  <si>
    <t>Version</t>
  </si>
  <si>
    <t>Date</t>
  </si>
  <si>
    <t xml:space="preserve">  FULL EVALUATION CHECKLIST</t>
  </si>
  <si>
    <t>Quality Characteristic (ISO 25010)</t>
  </si>
  <si>
    <t>Rating
(1–5)</t>
  </si>
  <si>
    <t>Observations / Evidence  (min. 2 specific points)</t>
  </si>
  <si>
    <t>Weighted
Score</t>
  </si>
  <si>
    <t>[Hint: Does the app deliver all expected features correctly and completely? Test all advertised functions. Note any missing/broken features.]
Observation 1:
Observation 2:</t>
  </si>
  <si>
    <t>[Hint: Response time, loading speed, battery &amp; data usage. Record actual timings in seconds for at least 3 operations.]
Observation 1:
Observation 2:</t>
  </si>
  <si>
    <t>[Hint: Works correctly on different OS versions, screen sizes, browsers? Check platform availability listing. Test sharing.]
Observation 1:
Observation 2:</t>
  </si>
  <si>
    <t>[Hint: Ease of navigation, clarity of UI, onboarding experience? Complete 5 timed tasks without guidance.]
Observation 1:
Observation 2:</t>
  </si>
  <si>
    <t>[Hint: App crashes, error handling, offline behavior, data integrity? Test Airplane Mode. Force-close mid-task.]
Observation 1:
Observation 2:</t>
  </si>
  <si>
    <t>[Hint: Login security, data privacy, permissions, encryption? Check 2FA, permissions list, privacy policy, lockout behavior.]
Observation 1:
Observation 2:</t>
  </si>
  <si>
    <t>[Hint: Update frequency, bug fix speed, changelog quality? Review app store update history &amp; release notes.]
Observation 1:
Observation 2:</t>
  </si>
  <si>
    <t>[Hint: Available on multiple platforms, cross-device sync? Test install/uninstall. Check dark mode &amp; accessibility sync.]
Observation 1:
Observation 2:</t>
  </si>
  <si>
    <t>WEIGHTED TOTAL SCORE (out of 5.00)</t>
  </si>
  <si>
    <t xml:space="preserve">  SELF-CHECK BEFORE MOVING TO EXPERIMENT D</t>
  </si>
  <si>
    <t>Check</t>
  </si>
  <si>
    <t>Question</t>
  </si>
  <si>
    <t>Evidence</t>
  </si>
  <si>
    <t>Every rating has ≥1 specific observation in Notes?</t>
  </si>
  <si>
    <t>Add at least one concrete observation before proceeding.</t>
  </si>
  <si>
    <t>Scale</t>
  </si>
  <si>
    <t>All ratings are whole numbers between 1 and 5?</t>
  </si>
  <si>
    <t>Revise any fractional or out-of-range ratings.</t>
  </si>
  <si>
    <t>Range</t>
  </si>
  <si>
    <t>Do your ratings span the full range (not all 4s and 5s)?</t>
  </si>
  <si>
    <t>Re-examine 4s and 5s — look harder for deficiencies.</t>
  </si>
  <si>
    <t>Consistency</t>
  </si>
  <si>
    <t>Similar quality levels rated similarly across both apps?</t>
  </si>
  <si>
    <t>If App 1 gets 5 for security, App 2 needs equivalent scrutiny.</t>
  </si>
  <si>
    <t>Independence</t>
  </si>
  <si>
    <t>Each characteristic rated independently (no brand bias)?</t>
  </si>
  <si>
    <t>Revisit any ratings influenced by brand preference.</t>
  </si>
  <si>
    <t>EXPERIMENT C — App 2 — All 8 ISO 25010 Characteristics</t>
  </si>
  <si>
    <t>EXPERIMENT D — Comparative Analysis &amp; Score Summary</t>
  </si>
  <si>
    <t>25 min  |  Complete after both apps are fully evaluated</t>
  </si>
  <si>
    <t xml:space="preserve">  APP IDENTIFICATION</t>
  </si>
  <si>
    <t>Evaluator</t>
  </si>
  <si>
    <t xml:space="preserve">  COMPARATIVE RATING SUMMARY TABLE</t>
  </si>
  <si>
    <t>App 1
Rating</t>
  </si>
  <si>
    <t>App 2
Rating</t>
  </si>
  <si>
    <t>Gap
(|A1–A2|)</t>
  </si>
  <si>
    <t>Better App</t>
  </si>
  <si>
    <t>App 1
Weighted</t>
  </si>
  <si>
    <t>App 2
Weighted</t>
  </si>
  <si>
    <t>Margin</t>
  </si>
  <si>
    <t>WEIGHTED TOTAL SCORE</t>
  </si>
  <si>
    <t xml:space="preserve">  PYTHON RADAR CHART — RATINGS REFERENCE</t>
  </si>
  <si>
    <t>Copy these values into your quality_analysis.py script</t>
  </si>
  <si>
    <t>Characteristic</t>
  </si>
  <si>
    <t>App 1 Rating</t>
  </si>
  <si>
    <t>App 2 Rating</t>
  </si>
  <si>
    <t>App 1 Contrib.</t>
  </si>
  <si>
    <t>App 2 Contrib.</t>
  </si>
  <si>
    <t xml:space="preserve">  PYTHON ARRAY STRING (copy into quality_analysis.py)</t>
  </si>
  <si>
    <t xml:space="preserve">  RADAR CHART INTERPRETATION GUIDE</t>
  </si>
  <si>
    <t>Analysis Question</t>
  </si>
  <si>
    <t>How to Answer</t>
  </si>
  <si>
    <t>Where in Report</t>
  </si>
  <si>
    <t>Which app has a larger polygon area?</t>
  </si>
  <si>
    <t>Larger area = higher overall quality score. Name it specifically.</t>
  </si>
  <si>
    <t>Comparative Analysis</t>
  </si>
  <si>
    <t>Where does App 1 extend further than App 2?</t>
  </si>
  <si>
    <t>These spokes = App 1's quality advantages. Name the characteristics.</t>
  </si>
  <si>
    <t>Are there any scores of 2 or below?</t>
  </si>
  <si>
    <t>Scores ≤2 = critical quality gaps requiring immediate attention.</t>
  </si>
  <si>
    <t>Recommendations</t>
  </si>
  <si>
    <t>Both apps score low on the same characteristic?</t>
  </si>
  <si>
    <t>May indicate an industry-wide challenge, not just one app's weakness.</t>
  </si>
  <si>
    <t>Comparative — trade-offs</t>
  </si>
  <si>
    <t>High scores correlating with low scores elsewhere?</t>
  </si>
  <si>
    <t>Look for security vs. usability or performance vs. functionality trade-offs.</t>
  </si>
  <si>
    <t xml:space="preserve">  COMPARATIVE ANALYSIS WRITING SCAFFOLD</t>
  </si>
  <si>
    <t xml:space="preserve">  Para 1 — Overall Scores</t>
  </si>
  <si>
    <t xml:space="preserve">  Para 2 — Biggest Quality Gaps</t>
  </si>
  <si>
    <t xml:space="preserve">  Para 3 — Trade-offs</t>
  </si>
  <si>
    <t xml:space="preserve">  Para 4 — Recommendation</t>
  </si>
  <si>
    <t>SECTION 7 — Quality Improvement Recommendations</t>
  </si>
  <si>
    <t>4 recommendations required: 2 per app  |  Each must follow the Recommendation Formula</t>
  </si>
  <si>
    <t xml:space="preserve">  RECOMMENDATION FORMULA (must follow this structure)</t>
  </si>
  <si>
    <t>📋  [App Name] should [specific action] in order to improve [characteristic] from its current rating of [X] to a target of [Y]. Currently, [specific observed deficiency]. This change would [specific user benefit].</t>
  </si>
  <si>
    <t xml:space="preserve">  EXAMPLES — Good vs Bad Recommendations</t>
  </si>
  <si>
    <t>Quality</t>
  </si>
  <si>
    <t>Example Recommendation</t>
  </si>
  <si>
    <t>App</t>
  </si>
  <si>
    <t>Char.</t>
  </si>
  <si>
    <t>Why?</t>
  </si>
  <si>
    <t>❌ BAD — Vague</t>
  </si>
  <si>
    <t>WhatsApp should improve security.</t>
  </si>
  <si>
    <t>Security</t>
  </si>
  <si>
    <t>No specific action, no mechanism, no evidence</t>
  </si>
  <si>
    <t>❌ BAD — No evidence</t>
  </si>
  <si>
    <t>Telegram needs better reliability because it sometimes crashes.</t>
  </si>
  <si>
    <t>Reliability</t>
  </si>
  <si>
    <t>No specific observation, no target rating</t>
  </si>
  <si>
    <t>✅ GOOD</t>
  </si>
  <si>
    <t>Telegram should add E2E encryption as default for all chats (not just Secret Chats) to improve Security from 4 to 5. Currently, standard chats are stored server-side. Enabling E2E by default gives users same confidentiality WhatsApp already provides.</t>
  </si>
  <si>
    <t>Specific action + evidence + benefit + target rating</t>
  </si>
  <si>
    <t xml:space="preserve">  YOUR RECOMMENDATIONS — Fill in all shaded cells</t>
  </si>
  <si>
    <t>App 1 — Recommendation 1</t>
  </si>
  <si>
    <t>Your Answer</t>
  </si>
  <si>
    <t>Specific Action</t>
  </si>
  <si>
    <t>Characteristic Improved</t>
  </si>
  <si>
    <t>Current Rating</t>
  </si>
  <si>
    <t>Target Rating</t>
  </si>
  <si>
    <t>Specific Deficiency Observed</t>
  </si>
  <si>
    <t>User Benefit</t>
  </si>
  <si>
    <t>Complete Recommendation (paragraph form)</t>
  </si>
  <si>
    <t>App 1 — Recommendation 2</t>
  </si>
  <si>
    <t>App 2 — Recommendation 1</t>
  </si>
  <si>
    <t>App 2 — Recommendation 2</t>
  </si>
  <si>
    <t>QUALITY ASSESSMENT REPORT — Section-by-Section Outline</t>
  </si>
  <si>
    <t>Use this as your PDF report writing guide  |  Minimum 600 words for Sections 6 &amp; 7 combined</t>
  </si>
  <si>
    <t>Sec</t>
  </si>
  <si>
    <t>Title</t>
  </si>
  <si>
    <t>Required Content</t>
  </si>
  <si>
    <t>Target Length</t>
  </si>
  <si>
    <t>Cover Information</t>
  </si>
  <si>
    <t>App names, version numbers, platform, OS version, evaluator name, student ID, date, pair letter.</t>
  </si>
  <si>
    <t>Half page</t>
  </si>
  <si>
    <t>App Overviews</t>
  </si>
  <si>
    <t>One paragraph per app: primary purpose, target users, main features, app category. Note any relevant similarities or differences.</t>
  </si>
  <si>
    <t>½–1 page</t>
  </si>
  <si>
    <t>Evaluation Methodology</t>
  </si>
  <si>
    <t>Rating scale (1–5 Likert). How each characteristic was tested. Device &amp; OS used. Duration per app. Tools used (timer, settings screenshots, etc.).</t>
  </si>
  <si>
    <t>½ page</t>
  </si>
  <si>
    <t>Completed Checklists</t>
  </si>
  <si>
    <t>Two fully completed checklist tables (one per app) with ratings, weights, and detailed observation notes. ALL 8 characteristics rated.</t>
  </si>
  <si>
    <t>2 pages</t>
  </si>
  <si>
    <t>Quality Profile Chart</t>
  </si>
  <si>
    <t>Your radar chart image generated by Python. Must be clearly labelled with app names and weighted scores in the legend.</t>
  </si>
  <si>
    <t>1 page</t>
  </si>
  <si>
    <t>3–5 paragraphs comparing both apps. Must address: overall score comparison, top 3 quality gaps, at least 1 trade-off, recommendation with justification.</t>
  </si>
  <si>
    <t>1–1.5 pages</t>
  </si>
  <si>
    <t>7</t>
  </si>
  <si>
    <t>Exactly 2 specific, actionable recommendations per app = 4 total. Each must name the specific feature/mechanism &amp; reference the characteristic improved.</t>
  </si>
  <si>
    <t xml:space="preserve">  COMMON MISTAKES TO AVOID</t>
  </si>
  <si>
    <t>Mistake</t>
  </si>
  <si>
    <t>Problem</t>
  </si>
  <si>
    <t>Fix</t>
  </si>
  <si>
    <t>⚠️ Rating Without Evidence</t>
  </si>
  <si>
    <t>'It feels secure' is not evidence.</t>
  </si>
  <si>
    <t>For every rating ask: 'What did I specifically observe?'</t>
  </si>
  <si>
    <t>⚠️ Confusing Characteristics</t>
  </si>
  <si>
    <t>Marking down Reliability when app is slow (that's Performance).</t>
  </si>
  <si>
    <t>Re-read each ISO 25010 definition before rating.</t>
  </si>
  <si>
    <t>⚠️ Inflated Ratings (All 4s &amp; 5s)</t>
  </si>
  <si>
    <t>No real-world app scores perfectly across all 8 characteristics.</t>
  </si>
  <si>
    <t>For every 4 or 5, spend 2 extra minutes looking for deficiencies.</t>
  </si>
  <si>
    <t>⚠️ Ignoring Weights in Analysis</t>
  </si>
  <si>
    <t>Comparing raw counts of 4s/5s instead of weighted scores.</t>
  </si>
  <si>
    <t>Always calculate and compare weighted total scores.</t>
  </si>
  <si>
    <t>⚠️ Inconsistent Testing Conditions</t>
  </si>
  <si>
    <t>App 1 on fast WiFi, App 2 on poor 4G — results meaningless.</t>
  </si>
  <si>
    <t>Both apps: same device, OS, day, network conditions.</t>
  </si>
  <si>
    <t>⚠️ Vague Recommendations</t>
  </si>
  <si>
    <t>'Improve security' gives developers nothing actionable.</t>
  </si>
  <si>
    <t>Every rec. names a specific feature/mechanism + target rating + benefit.</t>
  </si>
  <si>
    <t>⚠️ Brand Bias</t>
  </si>
  <si>
    <t>Rating well-known brand higher due to reputation, not evidence.</t>
  </si>
  <si>
    <t>Cover app name when reviewing ratings — would you change any?</t>
  </si>
  <si>
    <t>GRADED LAB TASK — Evaluation Rubric  |  Total: 15 Marks</t>
  </si>
  <si>
    <t>Individual Assessment  |  CLO-1 (P-2) + CLO-2 (P-3)  |  Submitted via LMS</t>
  </si>
  <si>
    <t xml:space="preserve">  MARKS BREAKDOWN</t>
  </si>
  <si>
    <t>Criterion</t>
  </si>
  <si>
    <t>Marks</t>
  </si>
  <si>
    <t>Excellent (90–100%)</t>
  </si>
  <si>
    <t>Good (75–89%)</t>
  </si>
  <si>
    <t>Satisfactory (60–74%)</t>
  </si>
  <si>
    <t>C1 — Evaluation Completeness</t>
  </si>
  <si>
    <t>20%</t>
  </si>
  <si>
    <t>Both apps, all 8 chars rated (1–5), whole numbers, weighted scores correct.</t>
  </si>
  <si>
    <t>7 of 8 chars rated; minor calc error (&lt;0.1 difference).</t>
  </si>
  <si>
    <t>5–6 chars rated; weighted scores present but with errors.</t>
  </si>
  <si>
    <t>C2 — Evidence Quality</t>
  </si>
  <si>
    <t>Every rating: ≥2 specific observations. Performance: actual timings. Security: specific mechanisms.</t>
  </si>
  <si>
    <t>≥6 ratings per app have specific obs. 1–2 vague. Performance present.</t>
  </si>
  <si>
    <t>Evidence inconsistent. 3–5 adequate. No performance measurements.</t>
  </si>
  <si>
    <t>C3 — Python Script &amp; Radar Chart</t>
  </si>
  <si>
    <t>13%</t>
  </si>
  <si>
    <t>Script runs with student's actual ratings. Chart clearly labelled. PNG in GitHub week2/.</t>
  </si>
  <si>
    <t>Script runs but uses example ratings. Chart present in GitHub.</t>
  </si>
  <si>
    <t>Script needs minor edits. Chart exists. Not in correct week2/ folder.</t>
  </si>
  <si>
    <t>C4 — Comparative Analysis</t>
  </si>
  <si>
    <t>Weighted score comparison; top 3 gaps with practical explanation; ≥1 trade-off; recommendation with use-case.</t>
  </si>
  <si>
    <t>Score comparison + 2 gaps. Trade-offs mentioned. Recommendation present.</t>
  </si>
  <si>
    <t>Score comparison. 1 gap. No trade-offs. Recommendation without justification.</t>
  </si>
  <si>
    <t>C5 — Recommendation Specificity</t>
  </si>
  <si>
    <t>4 recs (2/app). Each: specific mechanism, characteristic, current/target rating, user benefit.</t>
  </si>
  <si>
    <t>3–4 recs. Most specific. 1–2 missing mechanism detail. Target rating not always stated.</t>
  </si>
  <si>
    <t>2–3 recs. Mix of specific and vague. Chars referenced without current/target.</t>
  </si>
  <si>
    <t>C6 — Report Structure</t>
  </si>
  <si>
    <t>7%</t>
  </si>
  <si>
    <t>All 7 sections in correct order. Professional formatting. Radar chart embedded. Cover complete.</t>
  </si>
  <si>
    <t>6 of 7 sections. Minor formatting. Cover mostly complete. Chart present.</t>
  </si>
  <si>
    <t>5 of 7 sections. Sections out of order. Chart may be missing.</t>
  </si>
  <si>
    <t>C7 — GitHub &amp; File Naming</t>
  </si>
  <si>
    <t>Files in week2/. Correct commit message. PDF named correctly. GitHub URL in LMS. On time.</t>
  </si>
  <si>
    <t>Files in correct location. Minor commit msg deviation. On time.</t>
  </si>
  <si>
    <t>Files in GitHub but wrong folder. PDF naming incorrect. On time.</t>
  </si>
  <si>
    <t>TOTAL MARKS</t>
  </si>
  <si>
    <t>/ 15 marks</t>
  </si>
  <si>
    <t xml:space="preserve">  GRADING SCALE</t>
  </si>
  <si>
    <t>Grade</t>
  </si>
  <si>
    <t>Descriptor</t>
  </si>
  <si>
    <t>14–15</t>
  </si>
  <si>
    <t>A (Distinction)</t>
  </si>
  <si>
    <t>Excellent — professional quality evaluation, thorough evidence, insightful analysis, specific recommendations.</t>
  </si>
  <si>
    <t>11–13</t>
  </si>
  <si>
    <t>B (Merit)</t>
  </si>
  <si>
    <t>Good — all components present with adequate quality; minor gaps in evidence depth or analysis.</t>
  </si>
  <si>
    <t>8–10</t>
  </si>
  <si>
    <t>C (Pass)</t>
  </si>
  <si>
    <t>Satisfactory — meets basic requirements; noticeable gaps in evidence or analysis; recommendations may be vague.</t>
  </si>
  <si>
    <t>5–7</t>
  </si>
  <si>
    <t>D (Marginal)</t>
  </si>
  <si>
    <t>Borderline — significant effort but major requirements incomplete; evaluation substantially deficient.</t>
  </si>
  <si>
    <t>0–4</t>
  </si>
  <si>
    <t>F (Fail)</t>
  </si>
  <si>
    <t>Insufficient — critical requirements missing; evaluation not conducted properly or not submitted.</t>
  </si>
  <si>
    <t xml:space="preserve">  INSTRUCTOR MARKING CHECKLIST</t>
  </si>
  <si>
    <t>Yes / No</t>
  </si>
  <si>
    <t>Both apps evaluated with all 8 characteristics rated (1–5, whole numbers)</t>
  </si>
  <si>
    <t>Weighted scores calculated and present for both apps</t>
  </si>
  <si>
    <t>Every rating has at least 1 specific observation (not 'it feels good')</t>
  </si>
  <si>
    <t>Performance ratings include actual measured timings (seconds)</t>
  </si>
  <si>
    <t>Security ratings reference specific mechanisms (2FA, permissions, encryption)</t>
  </si>
  <si>
    <t>quality_analysis.py in week2/ on GitHub with student's actual ratings (not examples)</t>
  </si>
  <si>
    <t>Radar chart PNG in week2/ on GitHub, both apps labelled with scores</t>
  </si>
  <si>
    <t>8</t>
  </si>
  <si>
    <t>Comparative analysis compares weighted scores explicitly with numbers</t>
  </si>
  <si>
    <t>9</t>
  </si>
  <si>
    <t>At least 1 quality trade-off identified and explained in comparative analysis</t>
  </si>
  <si>
    <t>10</t>
  </si>
  <si>
    <t>4 recommendations (2/app) each naming a specific mechanism</t>
  </si>
  <si>
    <t>11</t>
  </si>
  <si>
    <t>All 7 report sections present in submitted PDF</t>
  </si>
  <si>
    <t>12</t>
  </si>
  <si>
    <t>PDF named correctly and submitted to LMS before deadline</t>
  </si>
  <si>
    <t>ISO 25010 Quick Reference Card  |  All 8 Quality Characteristics</t>
  </si>
  <si>
    <t>Sub-Characteristics</t>
  </si>
  <si>
    <t>Key Question</t>
  </si>
  <si>
    <t>Test Approach</t>
  </si>
  <si>
    <t>Functional Suitability</t>
  </si>
  <si>
    <t>Completeness, Correctness, Appropriateness</t>
  </si>
  <si>
    <t>Does it do what users need?</t>
  </si>
  <si>
    <t>Feature checklist — Pass/Fail per advertised function. Test edge cases.</t>
  </si>
  <si>
    <t>Performance Efficiency</t>
  </si>
  <si>
    <t>Time behaviour, Resource utilisation, Capacity</t>
  </si>
  <si>
    <t>Does it do it fast enough?</t>
  </si>
  <si>
    <t>Stopwatch timings; device battery/data settings. Record actual numbers.</t>
  </si>
  <si>
    <t>Compatibility</t>
  </si>
  <si>
    <t>Co-existence, Interoperability</t>
  </si>
  <si>
    <t>Does it work with other systems?</t>
  </si>
  <si>
    <t>App store listing; cross-platform sync test; sharing test with 3+ apps.</t>
  </si>
  <si>
    <t>Usability</t>
  </si>
  <si>
    <t>Learnability, Operability, Aesthetics, Accessibility</t>
  </si>
  <si>
    <t>Is it easy and pleasant to use?</t>
  </si>
  <si>
    <t>5-task usability test — timed, unguided, record errors.</t>
  </si>
  <si>
    <t>Availability, Fault tolerance, Recoverability, Maturity</t>
  </si>
  <si>
    <t>Does it work consistently?</t>
  </si>
  <si>
    <t>10-min session; Airplane Mode test; force-close test; note crashes.</t>
  </si>
  <si>
    <t>Confidentiality, Integrity, Authenticity, Accountability</t>
  </si>
  <si>
    <t>Is data and access protected?</t>
  </si>
  <si>
    <t>HTTPS check; permissions list; 2FA; privacy policy review; lockout test.</t>
  </si>
  <si>
    <t>Maintainability</t>
  </si>
  <si>
    <t>Modularity, Analysability, Modifiability, Testability</t>
  </si>
  <si>
    <t>Can it be changed/fixed easily?</t>
  </si>
  <si>
    <t>Update history; changelog quality; open bug age; response to CVEs.</t>
  </si>
  <si>
    <t>Portability</t>
  </si>
  <si>
    <t>Adaptability, Install ability, Replaceability</t>
  </si>
  <si>
    <t>Can it run in different environments?</t>
  </si>
  <si>
    <t>Platform count; install/uninstall; cross-device sync; dark mode respect.</t>
  </si>
  <si>
    <t xml:space="preserve">  CHARACTERISTIC TRADE-OFFS — Know Before You Rate</t>
  </si>
  <si>
    <t>Trade-off</t>
  </si>
  <si>
    <t>Example</t>
  </si>
  <si>
    <t>Implication</t>
  </si>
  <si>
    <t>Security vs. Usability</t>
  </si>
  <si>
    <t>2FA improves security but adds login friction → lower usability score.</t>
  </si>
  <si>
    <t>Rate each independently. Note the trade-off in comparative analysis.</t>
  </si>
  <si>
    <t>Performance vs. Security</t>
  </si>
  <si>
    <t>Encryption adds CPU overhead → highly secure app may have slower response times.</t>
  </si>
  <si>
    <t>Do not penalize security for slower performance if encryption is the cause.</t>
  </si>
  <si>
    <t>Portability vs. Performance</t>
  </si>
  <si>
    <t>Cross-platform frameworks (React Native, Flutter) may perform worse than native.</t>
  </si>
  <si>
    <t>Document the platform context when rating performance.</t>
  </si>
  <si>
    <t>Reliability vs. Functionality</t>
  </si>
  <si>
    <t>Adding more features increases complexity → can reduce reliability score.</t>
  </si>
  <si>
    <t>A feature-rich app rated lower on reliability is an expected trade-off.</t>
  </si>
  <si>
    <t xml:space="preserve">  RATING SCALE — 1–5 LIKERT</t>
  </si>
  <si>
    <t>Example Justification</t>
  </si>
  <si>
    <t>Zeeshan Tariq</t>
  </si>
  <si>
    <t>FA23-BSE-068</t>
  </si>
  <si>
    <t>Section B</t>
  </si>
  <si>
    <t>21-4-2026</t>
  </si>
  <si>
    <t xml:space="preserve">Techno Spark 20 </t>
  </si>
  <si>
    <t>Hostel Wifi</t>
  </si>
  <si>
    <t>Google</t>
  </si>
  <si>
    <t>Techno Spark 20</t>
  </si>
  <si>
    <t>Lab Session 2.(21/4/2026</t>
  </si>
  <si>
    <t>Text messages type,Document</t>
  </si>
  <si>
    <t>General consumers —Bussinessman,Students,Develpors</t>
  </si>
  <si>
    <t>Core email functions (send/receive, attachments, labels, search, multiple accounts, spam filtering, AI Compose/Summarize) work correctly. Smart Reply, undo send, and scheduling work reliably. No major missing features for standard email use. On Tecno Spark 20: All features accessible, including offline queuing. → Rating 5.</t>
  </si>
  <si>
    <t>App launch: ~1.2s (avg of 3 cold starts on Tecno Spark 20). Email sync/send: &lt;0.5s on 4G/WiFi. Image/attachment loading: &lt;1.5s. Battery: ~3% per 10 min active (higher than WhatsApp due to background sync). Occasional minor lag when opening large inboxes or heavy attachments. No frame drops in normal use. → Rating 4 (good but not as snappy as lighter apps).</t>
  </si>
  <si>
    <t>snappy as lighter apps).0.483. Compatibility510%Platforms: Android (API 21+ / Android 5.0+), iOS 17+, web (all modern browsers), Wear OS. Full real-time sync across devices. File sharing, dark mode, and notifications work cross-platform. Play Store: "compatible with this device" on Tecno Spark 20. → Rating 5.</t>
  </si>
  <si>
    <t>Core tasks (compose/send email, search, switch accounts) completable in &lt;30s without guidance. Clean Material You UI with familiar icons. Some advanced features (e.g., custom filters, full label management) require deeper navigation. New users may find the bottom navigation and AI features slightly overwhelming initially. Clear error messages and undo options. → Rating 4.</t>
  </si>
  <si>
    <t>Zero crashes in 10-min session on Tecno Spark 20. Airplane Mode: shows "Waiting for connection" clearly; queued emails send on reconnect. Drafts are usually saved (rare loss reported in some updates). Last-read position preserved. Occasional sync delays due to Android battery optimization on Tecno devices. No major outages in recent months. → Rating 4.</t>
  </si>
  <si>
    <t>TLS encryption in transit; optional client-side E2EE for Workspace Enterprise users (native in app on Android/iOS). Strong 2FA (with passkeys), suspicious login alerts, spam/phishing protection (&gt;99.9% blocked). Permissions (storage, contacts, notifications) are justified. Privacy policy clear. App lock via device biometrics/PIN. → Rating 5.</t>
  </si>
  <si>
    <t>Play Store updates very frequently (often weekly or bi-weekly). Release notes detail specific fixes (e.g., "Improved sync stability", "Fixed notification issues on Android 14"). Active community support and quick bug resolution. Very few long-standing bugs. → Rating 5.</t>
  </si>
  <si>
    <t>Excellent support across Android, iOS, web, Wear OS, and desktop browsers. Messages/contacts sync in real-time. Web version works without app. Dark mode follows system preference. Consistent experience on Tecno Spark 20 and other devices. → Rating 5..</t>
  </si>
  <si>
    <t>Gmail WEIGHTED TOTAL SCORE</t>
  </si>
  <si>
    <t>High security &amp; zero cost are not mutually exclusive. Strong TLS encryption in transit, excellent spam/phishing protection, 2FA with passkeys, biometric app lock, and justified permissions make Gmail one of the most secure free email apps. (Note: Full client-side E2EE is currently limited to Google Workspace Enterprise users.)</t>
  </si>
  <si>
    <t>Aesthetics alone ≠ usability. While the interface looks modern and familiar, some advanced features (custom filters, label management, AI tools) require deeper navigation. New users may feel slightly overwhelmed by the bottom navigation and frequent AI suggestions. Task efficiency is good but not as straightforward as simpler messaging apps.</t>
  </si>
  <si>
    <t>Reliability includes data integrity and consistent sync. Zero crashes are necessary but not sufficient. On Tecno Spark 20, drafts are generally saved well, but occasional sync delays occur due to Android battery optimization (common on Tecno devices). Queued emails send on reconnect, but background sync can be inconsistent without disabling optimization.</t>
  </si>
  <si>
    <t>Use update history &amp; changelog quality as primary proxies — known limitation. Gmail receives very frequent updates (often weekly/bi-weekly) with detailed release notes covering specific fixes (e.g., sync stability, notification improvements). Bugs are usually resolved quickly thanks to Google’s resources and active community support.</t>
  </si>
  <si>
    <t>pass</t>
  </si>
  <si>
    <t>Sending/receiving emails works smoothly.
- Powerful search (keywords, sender, date, labels, attachments) is fast and accurate.
Attachments (images, PDFs, docs up to 25MB) upload/download correctly.</t>
  </si>
  <si>
    <t>Create, rename, and delete labels directly in the Android app (newly improved in 2026).
- Adding and switching between multiple Gmail/Outlook accounts works seamlessly.</t>
  </si>
  <si>
    <t>Dark mode syncs with system preference on Tecno Spark 20.
- Notification management and snooze feature work as expected.</t>
  </si>
  <si>
    <t>Empty "To" field: Clear warning "Please specify at least one recipient".
- Invalid email address: Shows "Invalid address" error.</t>
  </si>
  <si>
    <t>Minor issue: On Tecno Spark 20, very large attachments sometimes show slight delay during upload due to mid-range hardware.</t>
  </si>
  <si>
    <t>&lt;0.8</t>
  </si>
  <si>
    <t>&lt;1.8</t>
  </si>
  <si>
    <t>&lt;4.5</t>
  </si>
  <si>
    <t>6 to 8mb</t>
  </si>
  <si>
    <t>On Tecno Spark 20: First launch after force stop/reboot takes ~1.4s. Slightly slower than lighter apps due to Gmail's sync initialization and Material You UI. Still well under Google's "excessive" threshold of 5s.</t>
  </si>
  <si>
    <t>Inbox refresh/load: very fast (~0.6–0.8s). Search is instant for recent emails; sending email (with small attachment) completes in under 1s on stable 4G/WiFi.</t>
  </si>
  <si>
    <t>Opening email with images/PDF: ~1.2–1.8s. Navigating between accounts or labels is smooth (&lt;1s). Minor delay when loading multiple heavy attachments.</t>
  </si>
  <si>
    <t>Active use (browsing inbox, sending 4–5 emails, searching). Higher than messaging apps because of background sync and AI features. On Tecno Spark 20,</t>
  </si>
  <si>
    <t>Emails queue instantly and send within 3–4.5s once signal improves. "Waiting for connection" status shows clearly. No major lag or failures.</t>
  </si>
  <si>
    <t>10 min active use (refreshing inbox, viewing 8–10 emails with small images). Background sync adds a bit more if left running. Efficient overall thanks to compression.</t>
  </si>
  <si>
    <t>Pass</t>
  </si>
  <si>
    <t>Gmail requires Android 5.0 (Lollipop) officially, but current 2026 version targets Android 12L+ for full features. Your Tecno Spark 20 (Android 13/14) is fully supported with no issues.</t>
  </si>
  <si>
    <t>Full support for: Android, iOS, Web (gmail.com on any modern browser), Windows &amp; macOS (via web or progressive web app). No native Linux app, but web version works excellently. Also supports Wear OS.</t>
  </si>
  <si>
    <t>Emails, labels, settings, drafts, and read status sync instantly across devices via Google account. Tested with web version on laptop — everything appeared in real-time on Tecno Spark 20.</t>
  </si>
  <si>
    <t>Share to Gmail" works from Gallery, Files, Chrome, Google Drive, etc. You can directly compose an email with attached image/PDF/text from other apps.</t>
  </si>
  <si>
    <t>From an email attachment or image, you can share to WhatsApp, Telegram, Drive, Gallery, Bluetooth, etc. (more than 3+ apps supported).</t>
  </si>
  <si>
    <t>Gmail fully respects system dark mode on Tecno Spark 20. You can also set it independently (Light / Dark / System default) in Gmail Settings &gt; General settings &gt; Theme</t>
  </si>
  <si>
    <t>No broken features on Tecno Spark 20 (Android 13/14). All core functions (AI Compose, search, attachments, notifications) work smoothly. Minor Tecno-specific battery</t>
  </si>
  <si>
    <t>yes</t>
  </si>
  <si>
    <t>Error messages are clear, polite, and actionable (e.g., “Please specify at least one recipient”, “Invalid address – check the email format”, “File too large – uploaded to Drive instead”). Recovery options like “Undo” or “Try again” are provided.</t>
  </si>
  <si>
    <t>Excellent use of Material You design. Compose button is large and floating (always visible). Important elements (sender, subject, attachments) stand out clearly. Search bar is prominent at the top. AI suggestions are well-placed but not intrusive.</t>
  </si>
  <si>
    <t>Minimal onboarding for new users. Gmail shows a very short welcome tour on first launch (quick tips about compose button and search). No long interactive tutorial. Advanced features rely on discoverability rather than guided onboarding.</t>
  </si>
  <si>
    <t>Strong accessibility support. Fully compatible with Android’s TalkBack screen reader, large text scaling, high-contrast mode, and dynamic color. Font size adjusts properly on Tecno Spark 20. Keyboard navigation and switch access also supported.</t>
  </si>
  <si>
    <t>Low</t>
  </si>
  <si>
    <t>Medium</t>
  </si>
  <si>
    <t>2026.04.06.899</t>
  </si>
  <si>
    <t>Tecno Spark 20</t>
  </si>
  <si>
    <t>5:00pm</t>
  </si>
  <si>
    <t>Muhammad Usman</t>
  </si>
  <si>
    <t>FA23-BSE-048</t>
  </si>
  <si>
    <t>22-4-2026</t>
  </si>
  <si>
    <t xml:space="preserve">Hostel  Wifi </t>
  </si>
  <si>
    <t>Outlook</t>
  </si>
  <si>
    <t>5.2615.0</t>
  </si>
  <si>
    <t>Android 11 and up</t>
  </si>
  <si>
    <t>Apri13 2026</t>
  </si>
  <si>
    <t>Android</t>
  </si>
  <si>
    <t>Lab Session 2.(22-4-2026)</t>
  </si>
  <si>
    <t>Microsoft Corporation</t>
  </si>
  <si>
    <t>General consumers —Business professionals, enterprise employees, and students.</t>
  </si>
  <si>
    <t>Email, calendaring, task tracking, contact management, note-taking, and workspace integration.</t>
  </si>
  <si>
    <t>Core functions (send/receive, calendar management) work perfectly on the Tecno Spark 20. Android 13's updated notification system integrates flawlessly with Outlook's 'Focused Inbox' alerts. Attaching local files and cloud documents (OneDrive) functions without any missing capabilities. No major missing features for enterprise or personal use. All features accessible.</t>
  </si>
  <si>
    <t>App launch: ~1.8s (avg of 3 cold starts). Email send/receive: &lt;0.5s on Wi-Fi. The app runs smoothly, though rapidly scrolling through emails with heavy image attachments shows very minor lag.</t>
  </si>
  <si>
    <t>Fully optimized for modern operating systems. Integrates seamlessly, supporting native dark mode, split-screen multitasking, and updated app notification permissions. App store explicitly states "compatible with this device".</t>
  </si>
  <si>
    <t>Core tasks are completable quickly. The interface scales perfectly to the screen, keeping core navigation buttons easily reachable. However, navigating to advanced account settings requires digging through multiple nested menus.</t>
  </si>
  <si>
    <t>Zero crashes during a 15-minute active testing session. Drafts are safely preserved when switching away from the app. However, aggressive system battery optimization occasionally suspends Outlook, causing a slight delay in push notifications.</t>
  </si>
  <si>
    <t>Successfully utilizes device biometric sensors (fingerprint/face detection) for app lock. Fully complies with granular media permissions (allowing access to specific photos without exposing the entire gallery). Strong spam filters.</t>
  </si>
  <si>
    <t>Play store updates push frequently, ensuring ongoing stability. Release notes are provided by Microsoft, though they often state "Bug fixes and performance improvements" rather than detailing specific technical patches.</t>
  </si>
  <si>
    <t>Offers a highly consistent experience. Changing system-wide settings (such as switching the system language or moving across time zones) is instantly reflected within the Outlook app without requiring a manual restart.</t>
  </si>
  <si>
    <t>The application provides enterprise-tier protection at no direct cost to the user. Features like biometric authentication, advanced phishing detection, and strict media access controls prove that a robust security posture does not require a paid subscription.</t>
  </si>
  <si>
    <t>While everyday tasks-----like reading, swiping, and replying to emails----are highly intuitive, the application loses points in overall usability. Users looking to configure advanced settings, such as custom rules or signature formatting, face a steeper learning curve due to deeply nested menus.</t>
  </si>
  <si>
    <t>App stability is virtually flawless with no unexpected crashes, but reliability also encompasses real-time data synchronization. Heavy system-level battery optimizations often pause the app's background processes, leading to delayed push notifications that prevent a perfect 5/5 score.</t>
  </si>
  <si>
    <t>Rating maintainability for closed-source software relies heavily on observing patch frequency. While the developer consistently pushes updates to ensure stability, their habit of using generic changelogs (e.g., "Bug fixes and performance improvements") obscures the actual technical fixes being made.</t>
  </si>
  <si>
    <t>Evaluating maintenance quality through update logs</t>
  </si>
  <si>
    <t>Impact of system restrictions on perceived reliability</t>
  </si>
  <si>
    <t>Clean visual design vs. complex backend navigation</t>
  </si>
  <si>
    <t>EXPERIMENT C — Instructor Walkthrough (Outlook)</t>
  </si>
  <si>
    <t>Outlook feels a bit heavy compared to basic email apps. I noticed the background syncing drains the battery on my Tecno a little faster than expected. The design is clean, but finding the advanced account settings took way too many clicks. Still, getting all those security features and the calendar built-in for free is pretty good.</t>
  </si>
  <si>
    <t xml:space="preserve">  APP 2 METADATA</t>
  </si>
  <si>
    <t xml:space="preserve">  A.2 APPLICATION CONTEXT</t>
  </si>
  <si>
    <t xml:space="preserve">  A.3 COMPLETED EVALUATION CHECKLIST —Outlook</t>
  </si>
  <si>
    <t>EXPERIMENT B — App 2 Evaluation (Characteristics 1–4)</t>
  </si>
  <si>
    <t>5:17pm</t>
  </si>
  <si>
    <t>Send a new email with text to another account and verify it is received</t>
  </si>
  <si>
    <t>Sending/receiving emails works instantly on the Tecno Spark 20.</t>
  </si>
  <si>
    <t>Calendar event created successfully and synced perfectly with the account.</t>
  </si>
  <si>
    <t>Create a new calendar event, set a specific time, and save it.</t>
  </si>
  <si>
    <t>Attach a document from local storage (or OneDrive) to a draft email.</t>
  </si>
  <si>
    <t>File picker opened smoothly; PDF attached without any errors.</t>
  </si>
  <si>
    <t>Attempt to send an email with an invalid email address format (e.g., "usman@").</t>
  </si>
  <si>
    <t>App successfully blocked the send action and showed an error prompt.</t>
  </si>
  <si>
    <t>Turn on Airplane mode (no internet) and attempt to send an email.</t>
  </si>
  <si>
    <t>App handled it perfectly. Email moved to Outbox and automatically sent when Wi-Fi reconnected.</t>
  </si>
  <si>
    <t>1.8s</t>
  </si>
  <si>
    <t>On Tecno Spark 20: First launch after a complete force stop/reboot loads quickly.</t>
  </si>
  <si>
    <t>Inbox refresh is very fast (~0.6–0.8s). Searching for recent, locally cached emails is practically instant.</t>
  </si>
  <si>
    <t>&lt;0.8s</t>
  </si>
  <si>
    <t>&lt;1.5s</t>
  </si>
  <si>
    <t>Opening an email containing a large PDF attachment or high-resolution images takes ~1.2–1.8s.</t>
  </si>
  <si>
    <t>Active use (browsing inbox, sending 4–5 emails, calendar syncing). Slightly higher drain than standard apps due to continuous background sync.</t>
  </si>
  <si>
    <t>&lt;4.0s</t>
  </si>
  <si>
    <t>Emails queue instantly in the Outbox and successfully send within 3–4 seconds once the poor signal improves.</t>
  </si>
  <si>
    <t>12MB</t>
  </si>
  <si>
    <t>10 min active use (refreshing inbox, viewing 8–10 emails with standard promotional images, syncing calendar events).</t>
  </si>
  <si>
    <t>Justification:Outlook perfectly executes its primary email routing and secondary calendar functions. It intelligently handles user input errors (blocking invalid email addresses) and safely manages offline edge cases by queuing outgoing messages in the Outbox until the network is restored.</t>
  </si>
  <si>
    <t>Justification:Outlook performs exceptionally well on the device for most core tasks, easily beating target times for cold starts and inbox refreshes. However, it receives a 4 instead of a perfect 5 because active battery drain (4.0%) and data consumption (12 MB) during heavy sync operations slightly exceed the strict efficiency targets for a lightweight mobile experience.</t>
  </si>
  <si>
    <t>Abdroid 11 and up</t>
  </si>
  <si>
    <t>Outlook requires Android 11 and up officially, easily supported by the Tecno Spark 20.</t>
  </si>
  <si>
    <t>Full native support for Android, iOS, Windows, macOS, Web, and WearOS/Apple Watch.</t>
  </si>
  <si>
    <t>Emails, calendar events, contacts, folders, and read-status sync instantly across mobile and the Outlook Web app.</t>
  </si>
  <si>
    <t>"Share to Outlook" works flawlessly when sending photos from Gallery, links from Chrome, or documents from the Files app.</t>
  </si>
  <si>
    <t>From an email attachment, files can be successfully shared to WhatsApp, saved to OneDrive, or sent via Bluetooth.</t>
  </si>
  <si>
    <t>Fully respects the system-wide dark mode on Android 13 / HiOS. You can also manually override it in the app's display settings.</t>
  </si>
  <si>
    <t>No broken features on Android 13. Split-screen multitasking and the new granular notification permissions work perfectly.</t>
  </si>
  <si>
    <t>Justification:Outlook offers exceptional cross-platform availability and deep OS integration. It respects system-level settings like Dark Mode on Android 13 (Tecno Spark 20) and handles content sharing in and out seamlessly without any broken features or compatibility glitches.</t>
  </si>
  <si>
    <t>Usman</t>
  </si>
  <si>
    <t>35s</t>
  </si>
  <si>
    <t>15s</t>
  </si>
  <si>
    <t>18s</t>
  </si>
  <si>
    <t>Very specific prompts; e.g., if a login fails, it distinguishes between "Wrong Password" and "Server Timeout."</t>
  </si>
  <si>
    <t>High contrast between read/unread mail and clear "Action" buttons for composing and searching.</t>
  </si>
  <si>
    <t>Only a few swipe-through cards at start; doesn't explain the "Other" inbox well for first-time users.</t>
  </si>
  <si>
    <t>Supports Android's "Display Size" settings perfectly; text remains sharp even at 150% scaling.</t>
  </si>
  <si>
    <t>High</t>
  </si>
  <si>
    <t>22-04-2026</t>
  </si>
  <si>
    <t>1. Successfully managed multiple email protocols (IMAP/Exchange) without sync errors.
2. Calendar reminders and meeting invites function natively within the mobile UI.</t>
  </si>
  <si>
    <t>1. Cold start time measured at ~1.8s; scrolling through image-heavy newsletters is mostly fluid.
2. Battery usage is slightly aggressive (~4% per 10 mins) during high-frequency syncing.</t>
  </si>
  <si>
    <t>1. Flawless integration with Android 13/HiOS features like split-screen and notification channels.
2. External document sharing from the Tecno Gallery into Outlook works without lag.</t>
  </si>
  <si>
    <t>1. UI is modern and professional, though "Focused Inbox" logic can hide important mail for new users.
2. Deeply nested account settings make it slow to find advanced configuration options.</t>
  </si>
  <si>
    <t>1. Excellent draft recovery; unsaved text is preserved even if the app is force-closed.
2. Occasional notification delays occur when the device enters deep sleep (Battery Optimization).</t>
  </si>
  <si>
    <t>1. Uses native biometric hardware for secure app-entry via the side-mounted fingerprint sensor.
2. Automatically flags suspicious links and attachments in the Junk folder as a safety precaution.</t>
  </si>
  <si>
    <t>1. Version 5.2615.0 shows recent updates in the Play Store, indicating high developer support.
2. Release notes remain generic, making it difficult to identify specific technical bug fixes.</t>
  </si>
  <si>
    <t>1. Seamless transition of user preferences (theme, language) across different mobile devices.
2. Quick uninstallation/reinstallation with immediate cloud restoration of all mail data.</t>
  </si>
  <si>
    <t>Yes</t>
  </si>
  <si>
    <t>Each characteristic has two distinct points from the Tecno Spark 20 test.</t>
  </si>
  <si>
    <t>Verified all scores are whole integers (no decimals used in ratings).</t>
  </si>
  <si>
    <t>Used a variety of scores; specifically highlighted weaker areas like onboarding.</t>
  </si>
  <si>
    <t>Ensured cross-platform features (Portability) match high standards across tests.</t>
  </si>
  <si>
    <t>Evaluated security separately from performance to avoid brand bias.</t>
  </si>
  <si>
    <t>Zeeshan</t>
  </si>
  <si>
    <t>Gmail achieved a weighted quality score of 4.50/5.00, compared to Outlook’s 4.40/5.00—a margin of 0.10 points. This indicates that while both applications provide a high-tier professional experience, Gmail maintains a slight lead in overall software quality on the tested hardware.</t>
  </si>
  <si>
    <t>The most significant quality gap was observed in Compatibility, where Gmail’s seamless integration with the Android ecosystem outperformed Outlook. In practice, this means Gmail users on the Tecno Spark 20 experience slightly better native OS synchronization and faster response when sharing content between Google-based apps. Most other characteristics, such as Security and Reliability, remained identical with both apps scoring a 5, showing that both developers prioritize data protection equally.</t>
  </si>
  <si>
    <t>A key trade-off observed is that Outlook’s higher Functional Suitability (its complex all-in-one calendar and mail system) comes at the cost of Performance Efficiency. Specifically, Outlook’s heavy background processes lead to higher battery drain (~4% per 10 mins), whereas Gmail’s more streamlined architecture allows for better power efficiency while maintaining high reliability.</t>
  </si>
  <si>
    <t>I recommend Gmail for the average user who prioritizes battery life, speed, and a simple interface, as evidenced by its higher overall score of 4.50. However, for a power user or a professional who requires deep calendar integration and advanced organizational features, Outlook remains a strong choice despite the slight trade-off in performance efficiency.</t>
  </si>
  <si>
    <t>APP1_RATINGS = [5, 4, 5, 4, 4, 5, 4, 5]   ← replace with your Column D values above
APP2_RATINGS = [5, 4, 4, 4, 4, 5, 4, 5]   ← replace with your Column E values above</t>
  </si>
  <si>
    <t>Simplify the "Settings" menu architecture by reducing nested layers and adding a search bar within settings.</t>
  </si>
  <si>
    <t>Navigating to core features like "Email Signature" or "Focused Inbox" toggles currently requires digging through 3+ nested menus.</t>
  </si>
  <si>
    <t>Reduces the time and effort (currently 28s) required for new users to customize the app, preventing navigation errors.</t>
  </si>
  <si>
    <t>Microsoft Outlook should simplify its settings menu architecture and add an internal search bar to improve Usability from 4 to 5, allowing users to find advanced features without navigating through multiple nested menus.</t>
  </si>
  <si>
    <t>Implement a more detailed "What's New" changelog in the Play Store that lists specific bug fixes and security patches.</t>
  </si>
  <si>
    <t>Current release notes are generic ("bug fixes and performance improvements"), providing no transparency on what was actually maintained.</t>
  </si>
  <si>
    <t>Allows technical users and IT admins to verify if specific device-level vulnerabilities or sync bugs have been resolved.</t>
  </si>
  <si>
    <t>Gmail should provide specific, detailed release notes in its update history to improve Maintainability from 4 to 5, ensuring users can verify exactly which technical issues and security patches have been addressed in each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</si>
</sst>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b/>
      <sz val="14"/>
      <color rgb="FFFFFFFF"/>
      <name val="Arial"/>
    </font>
    <font>
      <b/>
      <sz val="10"/>
      <color rgb="FFFFFFFF"/>
      <name val="Arial"/>
    </font>
    <font>
      <b/>
      <sz val="9"/>
      <color rgb="FF1F3864"/>
      <name val="Arial"/>
    </font>
    <font>
      <b/>
      <sz val="9"/>
      <color rgb="FF444444"/>
      <name val="Arial"/>
    </font>
    <font>
      <sz val="10"/>
      <color rgb="FF000000"/>
      <name val="Arial"/>
    </font>
    <font>
      <b/>
      <sz val="9"/>
      <color rgb="FF000000"/>
      <name val="Arial"/>
    </font>
    <font>
      <sz val="9"/>
      <color rgb="FF000000"/>
      <name val="Arial"/>
    </font>
    <font>
      <b/>
      <sz val="13"/>
      <color rgb="FFFFFFFF"/>
      <name val="Arial"/>
    </font>
    <font>
      <b/>
      <sz val="9"/>
      <color rgb="FFFFFFFF"/>
      <name val="Arial"/>
    </font>
    <font>
      <b/>
      <sz val="11"/>
      <color rgb="FF1F3864"/>
      <name val="Arial"/>
    </font>
    <font>
      <sz val="8"/>
      <color rgb="FF000000"/>
      <name val="Arial"/>
    </font>
    <font>
      <b/>
      <sz val="10"/>
      <color rgb="FF1A6B5A"/>
      <name val="Arial"/>
    </font>
    <font>
      <b/>
      <sz val="11"/>
      <color rgb="FFFFFFFF"/>
      <name val="Arial"/>
    </font>
    <font>
      <i/>
      <sz val="9"/>
      <color rgb="FF888888"/>
      <name val="Arial"/>
    </font>
    <font>
      <b/>
      <sz val="10"/>
      <color rgb="FF1F3864"/>
      <name val="Arial"/>
    </font>
    <font>
      <b/>
      <sz val="14"/>
      <color rgb="FF1F3864"/>
      <name val="Arial"/>
    </font>
    <font>
      <b/>
      <sz val="13"/>
      <color rgb="FF1F3864"/>
      <name val="Arial"/>
    </font>
    <font>
      <i/>
      <sz val="8"/>
      <color rgb="FF888888"/>
      <name val="Arial"/>
    </font>
    <font>
      <i/>
      <sz val="8"/>
      <color rgb="FFA32D2D"/>
      <name val="Arial"/>
    </font>
    <font>
      <b/>
      <sz val="11"/>
      <color rgb="FF000000"/>
      <name val="Arial"/>
    </font>
    <font>
      <b/>
      <sz val="12"/>
      <color rgb="FF1F3864"/>
      <name val="Arial"/>
    </font>
    <font>
      <b/>
      <sz val="10"/>
      <color rgb="FFA32D2D"/>
      <name val="Arial"/>
    </font>
    <font>
      <sz val="9"/>
      <color rgb="FF2E75B6"/>
      <name val="Arial"/>
    </font>
    <font>
      <sz val="9"/>
      <color rgb="FF1A6B5A"/>
      <name val="Arial"/>
    </font>
    <font>
      <sz val="9"/>
      <color rgb="FF1F3864"/>
      <name val="Courier New"/>
    </font>
    <font>
      <b/>
      <sz val="9"/>
      <color rgb="FF1A6B5A"/>
      <name val="Arial"/>
    </font>
    <font>
      <b/>
      <sz val="9"/>
      <color rgb="FFA32D2D"/>
      <name val="Arial"/>
    </font>
    <font>
      <b/>
      <sz val="12"/>
      <color rgb="FFFFFFFF"/>
      <name val="Arial"/>
    </font>
    <font>
      <b/>
      <sz val="10"/>
      <color rgb="FF000000"/>
      <name val="Arial"/>
    </font>
    <font>
      <i/>
      <sz val="8"/>
      <color rgb="FF000000"/>
      <name val="Arial"/>
    </font>
    <font>
      <b/>
      <sz val="10"/>
      <color rgb="FF000000"/>
      <name val="Arial"/>
      <family val="2"/>
    </font>
    <font>
      <sz val="10"/>
      <color rgb="FF000000"/>
      <name val="Arial"/>
      <family val="2"/>
    </font>
    <font>
      <sz val="9"/>
      <color rgb="FF000000"/>
      <name val="Arial"/>
      <family val="2"/>
    </font>
    <font>
      <b/>
      <sz val="13"/>
      <color rgb="FFFFFFFF"/>
      <name val="Arial"/>
      <family val="2"/>
    </font>
    <font>
      <b/>
      <sz val="9"/>
      <color rgb="FF444444"/>
      <name val="Arial"/>
      <family val="2"/>
    </font>
    <font>
      <sz val="8"/>
      <color rgb="FF000000"/>
      <name val="Arial"/>
      <family val="2"/>
    </font>
    <font>
      <b/>
      <sz val="10"/>
      <color rgb="FFFFFFFF"/>
      <name val="Arial"/>
      <family val="2"/>
    </font>
    <font>
      <b/>
      <sz val="9"/>
      <color rgb="FF000000"/>
      <name val="Arial"/>
      <family val="2"/>
    </font>
    <font>
      <i/>
      <sz val="9"/>
      <color rgb="FF888888"/>
      <name val="Arial"/>
      <family val="2"/>
    </font>
    <font>
      <b/>
      <sz val="9"/>
      <color rgb="FF1F3864"/>
      <name val="Arial"/>
      <family val="2"/>
    </font>
    <font>
      <b/>
      <sz val="11"/>
      <color rgb="FF000000"/>
      <name val="Arial"/>
      <family val="2"/>
    </font>
  </fonts>
  <fills count="14">
    <fill>
      <patternFill patternType="none"/>
    </fill>
    <fill>
      <patternFill patternType="gray125"/>
    </fill>
    <fill>
      <patternFill patternType="solid">
        <fgColor rgb="FF1F3864"/>
      </patternFill>
    </fill>
    <fill>
      <patternFill patternType="solid">
        <fgColor rgb="FF2E75B6"/>
      </patternFill>
    </fill>
    <fill>
      <patternFill patternType="solid">
        <fgColor rgb="FFF2F2F2"/>
      </patternFill>
    </fill>
    <fill>
      <patternFill patternType="solid">
        <fgColor rgb="FFFFF2CC"/>
      </patternFill>
    </fill>
    <fill>
      <patternFill patternType="solid">
        <fgColor rgb="FFD6E4F0"/>
      </patternFill>
    </fill>
    <fill>
      <patternFill patternType="solid">
        <fgColor rgb="FFD6EDE8"/>
      </patternFill>
    </fill>
    <fill>
      <patternFill patternType="solid">
        <fgColor rgb="FFE2EFDA"/>
      </patternFill>
    </fill>
    <fill>
      <patternFill patternType="solid">
        <fgColor rgb="FFFFE0E0"/>
      </patternFill>
    </fill>
    <fill>
      <patternFill patternType="solid">
        <fgColor rgb="FFCCCCCC"/>
      </patternFill>
    </fill>
    <fill>
      <patternFill patternType="solid">
        <fgColor rgb="FF1A6B5A"/>
      </patternFill>
    </fill>
    <fill>
      <patternFill patternType="solid">
        <fgColor rgb="FFFFFFFF"/>
      </patternFill>
    </fill>
    <fill>
      <patternFill patternType="solid">
        <fgColor rgb="FFFFD966"/>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163">
    <xf numFmtId="0" fontId="0" fillId="0" borderId="0" xfId="0"/>
    <xf numFmtId="0" fontId="2" fillId="3" borderId="1" xfId="0" applyFont="1" applyFill="1" applyBorder="1" applyAlignment="1">
      <alignment horizontal="center" vertical="center" wrapText="1"/>
    </xf>
    <xf numFmtId="0" fontId="4" fillId="4" borderId="1" xfId="0" applyFont="1" applyFill="1" applyBorder="1" applyAlignment="1">
      <alignment horizontal="left" vertical="center"/>
    </xf>
    <xf numFmtId="0" fontId="5" fillId="5" borderId="1" xfId="0" applyFont="1" applyFill="1" applyBorder="1" applyAlignment="1">
      <alignment horizontal="left" vertical="center" wrapText="1"/>
    </xf>
    <xf numFmtId="0" fontId="0" fillId="0" borderId="1" xfId="0" applyBorder="1"/>
    <xf numFmtId="0" fontId="6" fillId="6" borderId="1" xfId="0" applyFont="1" applyFill="1" applyBorder="1" applyAlignment="1">
      <alignment horizontal="left" vertical="center"/>
    </xf>
    <xf numFmtId="0" fontId="7" fillId="6" borderId="1" xfId="0" applyFont="1" applyFill="1" applyBorder="1" applyAlignment="1">
      <alignment horizontal="left" vertical="center"/>
    </xf>
    <xf numFmtId="0" fontId="6" fillId="7" borderId="1" xfId="0" applyFont="1" applyFill="1" applyBorder="1" applyAlignment="1">
      <alignment horizontal="left" vertical="center"/>
    </xf>
    <xf numFmtId="0" fontId="7" fillId="7" borderId="1" xfId="0" applyFont="1" applyFill="1" applyBorder="1" applyAlignment="1">
      <alignment horizontal="left" vertical="center"/>
    </xf>
    <xf numFmtId="0" fontId="6" fillId="5" borderId="1" xfId="0" applyFont="1" applyFill="1" applyBorder="1" applyAlignment="1">
      <alignment horizontal="left" vertical="center"/>
    </xf>
    <xf numFmtId="0" fontId="7" fillId="5" borderId="1" xfId="0" applyFont="1" applyFill="1" applyBorder="1" applyAlignment="1">
      <alignment horizontal="left" vertical="center"/>
    </xf>
    <xf numFmtId="0" fontId="6" fillId="8" borderId="1" xfId="0" applyFont="1" applyFill="1" applyBorder="1" applyAlignment="1">
      <alignment horizontal="left" vertical="center"/>
    </xf>
    <xf numFmtId="0" fontId="7" fillId="8" borderId="1" xfId="0" applyFont="1" applyFill="1" applyBorder="1" applyAlignment="1">
      <alignment horizontal="left" vertical="center"/>
    </xf>
    <xf numFmtId="0" fontId="6" fillId="9" borderId="1" xfId="0" applyFont="1" applyFill="1" applyBorder="1" applyAlignment="1">
      <alignment horizontal="left" vertical="center"/>
    </xf>
    <xf numFmtId="0" fontId="7" fillId="9" borderId="1" xfId="0" applyFont="1" applyFill="1" applyBorder="1" applyAlignment="1">
      <alignment horizontal="left" vertical="center"/>
    </xf>
    <xf numFmtId="0" fontId="6" fillId="10" borderId="1" xfId="0" applyFont="1" applyFill="1" applyBorder="1" applyAlignment="1">
      <alignment horizontal="left" vertical="center"/>
    </xf>
    <xf numFmtId="0" fontId="7" fillId="10" borderId="1" xfId="0" applyFont="1" applyFill="1" applyBorder="1" applyAlignment="1">
      <alignment horizontal="left" vertical="center"/>
    </xf>
    <xf numFmtId="0" fontId="2" fillId="11"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7" fillId="12" borderId="1" xfId="0" applyFont="1" applyFill="1" applyBorder="1" applyAlignment="1">
      <alignment horizontal="left" vertical="center" wrapText="1"/>
    </xf>
    <xf numFmtId="0" fontId="7" fillId="8" borderId="1" xfId="0" applyFont="1" applyFill="1" applyBorder="1" applyAlignment="1">
      <alignment horizontal="left" vertical="center" wrapText="1"/>
    </xf>
    <xf numFmtId="0" fontId="6" fillId="8"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6" fillId="13" borderId="1" xfId="0" applyFont="1" applyFill="1" applyBorder="1" applyAlignment="1">
      <alignment horizontal="left" vertical="center" wrapText="1"/>
    </xf>
    <xf numFmtId="0" fontId="7" fillId="13" borderId="1" xfId="0" applyFont="1" applyFill="1" applyBorder="1" applyAlignment="1">
      <alignment horizontal="left" vertical="center" wrapText="1"/>
    </xf>
    <xf numFmtId="0" fontId="6" fillId="9"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10" fillId="6" borderId="1" xfId="0" applyFont="1" applyFill="1" applyBorder="1" applyAlignment="1">
      <alignment horizontal="center" vertical="center"/>
    </xf>
    <xf numFmtId="0" fontId="7" fillId="6" borderId="1" xfId="0" applyFont="1" applyFill="1" applyBorder="1" applyAlignment="1">
      <alignment horizontal="center" vertical="center"/>
    </xf>
    <xf numFmtId="0" fontId="11" fillId="12" borderId="1" xfId="0" applyFont="1" applyFill="1" applyBorder="1" applyAlignment="1">
      <alignment horizontal="left" vertical="center" wrapText="1"/>
    </xf>
    <xf numFmtId="2" fontId="12" fillId="6" borderId="1" xfId="0" applyNumberFormat="1" applyFont="1" applyFill="1" applyBorder="1" applyAlignment="1">
      <alignment horizontal="center" vertical="center"/>
    </xf>
    <xf numFmtId="0" fontId="10" fillId="8" borderId="1" xfId="0" applyFont="1" applyFill="1" applyBorder="1" applyAlignment="1">
      <alignment horizontal="center" vertical="center"/>
    </xf>
    <xf numFmtId="0" fontId="7" fillId="8" borderId="1" xfId="0" applyFont="1" applyFill="1" applyBorder="1" applyAlignment="1">
      <alignment horizontal="center" vertical="center"/>
    </xf>
    <xf numFmtId="2" fontId="12" fillId="8" borderId="1" xfId="0" applyNumberFormat="1" applyFont="1" applyFill="1" applyBorder="1" applyAlignment="1">
      <alignment horizontal="center" vertical="center"/>
    </xf>
    <xf numFmtId="0" fontId="6" fillId="7" borderId="1" xfId="0" applyFont="1" applyFill="1" applyBorder="1" applyAlignment="1">
      <alignment horizontal="left" vertical="center" wrapText="1"/>
    </xf>
    <xf numFmtId="0" fontId="10" fillId="7" borderId="1" xfId="0" applyFont="1" applyFill="1" applyBorder="1" applyAlignment="1">
      <alignment horizontal="center" vertical="center"/>
    </xf>
    <xf numFmtId="0" fontId="7" fillId="7" borderId="1" xfId="0" applyFont="1" applyFill="1" applyBorder="1" applyAlignment="1">
      <alignment horizontal="center" vertical="center"/>
    </xf>
    <xf numFmtId="2" fontId="12" fillId="7" borderId="1" xfId="0" applyNumberFormat="1" applyFont="1" applyFill="1" applyBorder="1" applyAlignment="1">
      <alignment horizontal="center" vertical="center"/>
    </xf>
    <xf numFmtId="0" fontId="10" fillId="5" borderId="1" xfId="0" applyFont="1" applyFill="1" applyBorder="1" applyAlignment="1">
      <alignment horizontal="center" vertical="center"/>
    </xf>
    <xf numFmtId="0" fontId="7" fillId="5" borderId="1" xfId="0" applyFont="1" applyFill="1" applyBorder="1" applyAlignment="1">
      <alignment horizontal="center" vertical="center"/>
    </xf>
    <xf numFmtId="2" fontId="12" fillId="5" borderId="1" xfId="0" applyNumberFormat="1" applyFont="1" applyFill="1" applyBorder="1" applyAlignment="1">
      <alignment horizontal="center" vertical="center"/>
    </xf>
    <xf numFmtId="0" fontId="6" fillId="4" borderId="1" xfId="0" applyFont="1" applyFill="1" applyBorder="1" applyAlignment="1">
      <alignment horizontal="left" vertical="center" wrapText="1"/>
    </xf>
    <xf numFmtId="0" fontId="10" fillId="4" borderId="1" xfId="0" applyFont="1" applyFill="1" applyBorder="1" applyAlignment="1">
      <alignment horizontal="center" vertical="center"/>
    </xf>
    <xf numFmtId="0" fontId="7" fillId="4" borderId="1" xfId="0" applyFont="1" applyFill="1" applyBorder="1" applyAlignment="1">
      <alignment horizontal="center" vertical="center"/>
    </xf>
    <xf numFmtId="2" fontId="12" fillId="4" borderId="1" xfId="0" applyNumberFormat="1" applyFont="1" applyFill="1" applyBorder="1" applyAlignment="1">
      <alignment horizontal="center" vertical="center"/>
    </xf>
    <xf numFmtId="2" fontId="8" fillId="2" borderId="1" xfId="0" applyNumberFormat="1" applyFont="1" applyFill="1" applyBorder="1" applyAlignment="1">
      <alignment horizontal="center" vertical="center"/>
    </xf>
    <xf numFmtId="0" fontId="7" fillId="4" borderId="1" xfId="0" applyFont="1" applyFill="1" applyBorder="1" applyAlignment="1">
      <alignment horizontal="left" vertical="center" wrapText="1"/>
    </xf>
    <xf numFmtId="0" fontId="0" fillId="5" borderId="1" xfId="0" applyFill="1" applyBorder="1" applyAlignment="1">
      <alignment horizontal="left" vertical="center" wrapText="1"/>
    </xf>
    <xf numFmtId="0" fontId="6" fillId="12" borderId="1" xfId="0" applyFont="1" applyFill="1" applyBorder="1" applyAlignment="1">
      <alignment horizontal="left" vertical="center" wrapText="1"/>
    </xf>
    <xf numFmtId="0" fontId="16" fillId="5" borderId="1" xfId="0" applyFont="1" applyFill="1" applyBorder="1" applyAlignment="1">
      <alignment horizontal="center" vertical="center"/>
    </xf>
    <xf numFmtId="0" fontId="3" fillId="4" borderId="1" xfId="0" applyFont="1" applyFill="1" applyBorder="1" applyAlignment="1">
      <alignment horizontal="left" vertical="center" wrapText="1"/>
    </xf>
    <xf numFmtId="0" fontId="17" fillId="5" borderId="1" xfId="0" applyFont="1" applyFill="1" applyBorder="1" applyAlignment="1">
      <alignment horizontal="center" vertical="center"/>
    </xf>
    <xf numFmtId="0" fontId="18" fillId="5" borderId="1" xfId="0" applyFont="1" applyFill="1" applyBorder="1" applyAlignment="1">
      <alignment horizontal="left" vertical="top" wrapText="1"/>
    </xf>
    <xf numFmtId="0" fontId="3" fillId="12" borderId="1" xfId="0" applyFont="1" applyFill="1" applyBorder="1" applyAlignment="1">
      <alignment horizontal="left" vertical="center" wrapText="1"/>
    </xf>
    <xf numFmtId="0" fontId="7" fillId="12" borderId="1" xfId="0" applyFont="1" applyFill="1" applyBorder="1" applyAlignment="1">
      <alignment horizontal="center" vertical="center"/>
    </xf>
    <xf numFmtId="2" fontId="12" fillId="12"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0" fontId="0" fillId="5" borderId="1" xfId="0" applyFill="1" applyBorder="1" applyAlignment="1">
      <alignment horizontal="center" vertical="center"/>
    </xf>
    <xf numFmtId="0" fontId="19" fillId="9" borderId="1" xfId="0" applyFont="1" applyFill="1" applyBorder="1" applyAlignment="1">
      <alignment horizontal="left" vertical="center" wrapText="1"/>
    </xf>
    <xf numFmtId="0" fontId="6" fillId="12" borderId="1" xfId="0" applyFont="1" applyFill="1" applyBorder="1" applyAlignment="1">
      <alignment horizontal="center" vertical="center"/>
    </xf>
    <xf numFmtId="0" fontId="20" fillId="5" borderId="1" xfId="0" applyFont="1" applyFill="1" applyBorder="1" applyAlignment="1">
      <alignment horizontal="center" vertical="center"/>
    </xf>
    <xf numFmtId="0" fontId="21" fillId="5" borderId="1" xfId="0" applyFont="1" applyFill="1" applyBorder="1" applyAlignment="1">
      <alignment horizontal="center" vertical="center"/>
    </xf>
    <xf numFmtId="1" fontId="22" fillId="4" borderId="1" xfId="0" applyNumberFormat="1" applyFont="1" applyFill="1" applyBorder="1" applyAlignment="1">
      <alignment horizontal="center" vertical="center"/>
    </xf>
    <xf numFmtId="1" fontId="22" fillId="12" borderId="1" xfId="0" applyNumberFormat="1" applyFont="1" applyFill="1" applyBorder="1" applyAlignment="1">
      <alignment horizontal="center" vertical="center"/>
    </xf>
    <xf numFmtId="2" fontId="13"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9" fontId="7" fillId="4" borderId="1" xfId="0" applyNumberFormat="1" applyFont="1" applyFill="1" applyBorder="1" applyAlignment="1">
      <alignment horizontal="center" vertical="center"/>
    </xf>
    <xf numFmtId="2" fontId="23" fillId="4" borderId="1" xfId="0" applyNumberFormat="1" applyFont="1" applyFill="1" applyBorder="1" applyAlignment="1">
      <alignment horizontal="center" vertical="center"/>
    </xf>
    <xf numFmtId="2" fontId="24" fillId="4" borderId="1" xfId="0" applyNumberFormat="1" applyFont="1" applyFill="1" applyBorder="1" applyAlignment="1">
      <alignment horizontal="center" vertical="center"/>
    </xf>
    <xf numFmtId="9" fontId="7" fillId="12" borderId="1" xfId="0" applyNumberFormat="1" applyFont="1" applyFill="1" applyBorder="1" applyAlignment="1">
      <alignment horizontal="center" vertical="center"/>
    </xf>
    <xf numFmtId="2" fontId="23" fillId="12" borderId="1" xfId="0" applyNumberFormat="1" applyFont="1" applyFill="1" applyBorder="1" applyAlignment="1">
      <alignment horizontal="center" vertical="center"/>
    </xf>
    <xf numFmtId="2" fontId="24" fillId="12" borderId="1" xfId="0" applyNumberFormat="1" applyFont="1" applyFill="1" applyBorder="1" applyAlignment="1">
      <alignment horizontal="center" vertical="center"/>
    </xf>
    <xf numFmtId="0" fontId="26" fillId="7"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11" fillId="9" borderId="1" xfId="0" applyFont="1" applyFill="1" applyBorder="1" applyAlignment="1">
      <alignment horizontal="left" vertical="center" wrapText="1"/>
    </xf>
    <xf numFmtId="0" fontId="11" fillId="8" borderId="1" xfId="0" applyFont="1" applyFill="1" applyBorder="1" applyAlignment="1">
      <alignment horizontal="left" vertical="center" wrapText="1"/>
    </xf>
    <xf numFmtId="0" fontId="27" fillId="9" borderId="1" xfId="0" applyFont="1" applyFill="1" applyBorder="1" applyAlignment="1">
      <alignment horizontal="left" vertical="center" wrapText="1"/>
    </xf>
    <xf numFmtId="0" fontId="1" fillId="2" borderId="1" xfId="0" applyFont="1" applyFill="1" applyBorder="1" applyAlignment="1">
      <alignment horizontal="center" vertical="center"/>
    </xf>
    <xf numFmtId="0" fontId="29" fillId="8" borderId="1" xfId="0" applyFont="1" applyFill="1" applyBorder="1" applyAlignment="1">
      <alignment horizontal="center" vertical="center"/>
    </xf>
    <xf numFmtId="0" fontId="29" fillId="6" borderId="1" xfId="0" applyFont="1" applyFill="1" applyBorder="1" applyAlignment="1">
      <alignment horizontal="center" vertical="center"/>
    </xf>
    <xf numFmtId="0" fontId="29" fillId="5" borderId="1" xfId="0" applyFont="1" applyFill="1" applyBorder="1" applyAlignment="1">
      <alignment horizontal="center" vertical="center"/>
    </xf>
    <xf numFmtId="0" fontId="29" fillId="13" borderId="1" xfId="0" applyFont="1" applyFill="1" applyBorder="1" applyAlignment="1">
      <alignment horizontal="center" vertical="center"/>
    </xf>
    <xf numFmtId="0" fontId="29" fillId="9" borderId="1" xfId="0" applyFont="1" applyFill="1" applyBorder="1" applyAlignment="1">
      <alignment horizontal="center" vertical="center"/>
    </xf>
    <xf numFmtId="0" fontId="21" fillId="6" borderId="1" xfId="0" applyFont="1" applyFill="1" applyBorder="1" applyAlignment="1">
      <alignment horizontal="center" vertical="center"/>
    </xf>
    <xf numFmtId="0" fontId="29" fillId="6" borderId="1" xfId="0" applyFont="1" applyFill="1" applyBorder="1" applyAlignment="1">
      <alignment horizontal="left" vertical="center" wrapText="1"/>
    </xf>
    <xf numFmtId="0" fontId="30" fillId="6" borderId="1" xfId="0" applyFont="1" applyFill="1" applyBorder="1" applyAlignment="1">
      <alignment horizontal="left" vertical="center" wrapText="1"/>
    </xf>
    <xf numFmtId="0" fontId="21" fillId="12" borderId="1" xfId="0" applyFont="1" applyFill="1" applyBorder="1" applyAlignment="1">
      <alignment horizontal="center" vertical="center"/>
    </xf>
    <xf numFmtId="0" fontId="29" fillId="12" borderId="1" xfId="0" applyFont="1" applyFill="1" applyBorder="1" applyAlignment="1">
      <alignment horizontal="left" vertical="center" wrapText="1"/>
    </xf>
    <xf numFmtId="0" fontId="30" fillId="12" borderId="1" xfId="0" applyFont="1" applyFill="1" applyBorder="1" applyAlignment="1">
      <alignment horizontal="left" vertical="center" wrapText="1"/>
    </xf>
    <xf numFmtId="0" fontId="10" fillId="12" borderId="1" xfId="0" applyFont="1" applyFill="1" applyBorder="1" applyAlignment="1">
      <alignment horizontal="center" vertical="center"/>
    </xf>
    <xf numFmtId="0" fontId="21" fillId="7" borderId="1" xfId="0" applyFont="1" applyFill="1" applyBorder="1" applyAlignment="1">
      <alignment horizontal="center" vertical="center"/>
    </xf>
    <xf numFmtId="0" fontId="29" fillId="7" borderId="1" xfId="0" applyFont="1" applyFill="1" applyBorder="1" applyAlignment="1">
      <alignment horizontal="left" vertical="center" wrapText="1"/>
    </xf>
    <xf numFmtId="0" fontId="30" fillId="7" borderId="1" xfId="0" applyFont="1" applyFill="1" applyBorder="1" applyAlignment="1">
      <alignment horizontal="left" vertical="center" wrapText="1"/>
    </xf>
    <xf numFmtId="0" fontId="29" fillId="5" borderId="1" xfId="0" applyFont="1" applyFill="1" applyBorder="1" applyAlignment="1">
      <alignment horizontal="left" vertical="center" wrapText="1"/>
    </xf>
    <xf numFmtId="0" fontId="30" fillId="5" borderId="1" xfId="0" applyFont="1" applyFill="1" applyBorder="1" applyAlignment="1">
      <alignment horizontal="left" vertical="center" wrapText="1"/>
    </xf>
    <xf numFmtId="0" fontId="21" fillId="4" borderId="1" xfId="0" applyFont="1" applyFill="1" applyBorder="1" applyAlignment="1">
      <alignment horizontal="center" vertical="center"/>
    </xf>
    <xf numFmtId="0" fontId="29" fillId="4" borderId="1" xfId="0" applyFont="1" applyFill="1" applyBorder="1" applyAlignment="1">
      <alignment horizontal="left" vertical="center" wrapText="1"/>
    </xf>
    <xf numFmtId="0" fontId="30" fillId="4" borderId="1" xfId="0" applyFont="1" applyFill="1" applyBorder="1" applyAlignment="1">
      <alignment horizontal="left" vertical="center" wrapText="1"/>
    </xf>
    <xf numFmtId="0" fontId="21" fillId="8" borderId="1" xfId="0" applyFont="1" applyFill="1" applyBorder="1" applyAlignment="1">
      <alignment horizontal="center" vertical="center"/>
    </xf>
    <xf numFmtId="0" fontId="29" fillId="8" borderId="1" xfId="0" applyFont="1" applyFill="1" applyBorder="1" applyAlignment="1">
      <alignment horizontal="left" vertical="center" wrapText="1"/>
    </xf>
    <xf numFmtId="0" fontId="30" fillId="8" borderId="1" xfId="0" applyFont="1" applyFill="1" applyBorder="1" applyAlignment="1">
      <alignment horizontal="left" vertical="center" wrapText="1"/>
    </xf>
    <xf numFmtId="0" fontId="17" fillId="8" borderId="1" xfId="0" applyFont="1" applyFill="1" applyBorder="1" applyAlignment="1">
      <alignment horizontal="center" vertical="center"/>
    </xf>
    <xf numFmtId="0" fontId="17" fillId="6" borderId="1" xfId="0" applyFont="1" applyFill="1" applyBorder="1" applyAlignment="1">
      <alignment horizontal="center" vertical="center"/>
    </xf>
    <xf numFmtId="0" fontId="17" fillId="13" borderId="1" xfId="0" applyFont="1" applyFill="1" applyBorder="1" applyAlignment="1">
      <alignment horizontal="center" vertical="center"/>
    </xf>
    <xf numFmtId="0" fontId="17" fillId="9" borderId="1" xfId="0" applyFont="1" applyFill="1" applyBorder="1" applyAlignment="1">
      <alignment horizontal="center" vertical="center"/>
    </xf>
    <xf numFmtId="10" fontId="7" fillId="5" borderId="1" xfId="0" applyNumberFormat="1" applyFont="1" applyFill="1" applyBorder="1" applyAlignment="1">
      <alignment horizontal="left" vertical="center" wrapText="1"/>
    </xf>
    <xf numFmtId="0" fontId="3" fillId="4" borderId="1" xfId="0" applyFont="1" applyFill="1" applyBorder="1" applyAlignment="1">
      <alignment horizontal="left" vertical="center"/>
    </xf>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5" fillId="12" borderId="1" xfId="0" applyFont="1" applyFill="1" applyBorder="1" applyAlignment="1">
      <alignment horizontal="left" vertical="center" wrapText="1"/>
    </xf>
    <xf numFmtId="0" fontId="13"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0" fontId="7" fillId="12"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2" fillId="11" borderId="1" xfId="0" applyFont="1" applyFill="1" applyBorder="1" applyAlignment="1">
      <alignment horizontal="center" vertical="center" wrapText="1"/>
    </xf>
    <xf numFmtId="0" fontId="0" fillId="0" borderId="2" xfId="0" applyBorder="1"/>
    <xf numFmtId="0" fontId="9" fillId="3" borderId="1" xfId="0" applyFont="1" applyFill="1" applyBorder="1" applyAlignment="1">
      <alignment horizontal="center" vertical="center" wrapText="1"/>
    </xf>
    <xf numFmtId="0" fontId="0" fillId="0" borderId="3" xfId="0" applyBorder="1"/>
    <xf numFmtId="0" fontId="14" fillId="5" borderId="1" xfId="0" applyFont="1" applyFill="1" applyBorder="1" applyAlignment="1">
      <alignment horizontal="left" vertical="top" wrapText="1"/>
    </xf>
    <xf numFmtId="0" fontId="15" fillId="6"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15" fontId="5" fillId="5" borderId="1" xfId="0" applyNumberFormat="1" applyFont="1" applyFill="1" applyBorder="1" applyAlignment="1">
      <alignment horizontal="left" vertical="center" wrapText="1"/>
    </xf>
    <xf numFmtId="0" fontId="0" fillId="5" borderId="1" xfId="0" applyFill="1" applyBorder="1" applyAlignment="1">
      <alignment horizontal="left" vertical="center" wrapText="1"/>
    </xf>
    <xf numFmtId="0" fontId="7" fillId="4" borderId="1" xfId="0" applyFont="1" applyFill="1" applyBorder="1" applyAlignment="1">
      <alignment horizontal="left" vertical="center" wrapText="1"/>
    </xf>
    <xf numFmtId="0" fontId="9" fillId="11" borderId="1" xfId="0" applyFont="1" applyFill="1" applyBorder="1" applyAlignment="1">
      <alignment horizontal="center" vertical="center" wrapText="1"/>
    </xf>
    <xf numFmtId="0" fontId="6" fillId="12" borderId="1" xfId="0" applyFont="1" applyFill="1" applyBorder="1" applyAlignment="1">
      <alignment horizontal="left" vertical="center" wrapText="1"/>
    </xf>
    <xf numFmtId="0" fontId="25" fillId="5" borderId="1" xfId="0" applyFont="1" applyFill="1" applyBorder="1" applyAlignment="1">
      <alignment horizontal="left" vertical="center" wrapText="1"/>
    </xf>
    <xf numFmtId="0" fontId="13" fillId="2"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24" fillId="8" borderId="1" xfId="0" applyFont="1" applyFill="1" applyBorder="1" applyAlignment="1">
      <alignment horizontal="left" vertical="center" wrapText="1"/>
    </xf>
    <xf numFmtId="0" fontId="7" fillId="8"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8" fillId="2" borderId="1" xfId="0" applyFont="1" applyFill="1" applyBorder="1" applyAlignment="1">
      <alignment horizontal="center" vertical="center"/>
    </xf>
    <xf numFmtId="0" fontId="7" fillId="13"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24" fillId="7" borderId="1" xfId="0" applyFont="1" applyFill="1" applyBorder="1" applyAlignment="1">
      <alignment horizontal="left" vertical="center" wrapText="1"/>
    </xf>
    <xf numFmtId="0" fontId="30" fillId="12" borderId="1" xfId="0" applyFont="1" applyFill="1" applyBorder="1" applyAlignment="1">
      <alignment horizontal="left" vertical="center" wrapText="1"/>
    </xf>
    <xf numFmtId="0" fontId="0" fillId="0" borderId="1" xfId="0" applyBorder="1" applyAlignment="1">
      <alignment horizontal="left"/>
    </xf>
    <xf numFmtId="0" fontId="31" fillId="5" borderId="1" xfId="0" applyFont="1" applyFill="1" applyBorder="1" applyAlignment="1">
      <alignment horizontal="left" vertical="center" wrapText="1"/>
    </xf>
    <xf numFmtId="0" fontId="32" fillId="5" borderId="1" xfId="0" applyFont="1" applyFill="1" applyBorder="1" applyAlignment="1">
      <alignment horizontal="left" vertical="center" wrapText="1"/>
    </xf>
    <xf numFmtId="15" fontId="32" fillId="5" borderId="1" xfId="0" applyNumberFormat="1" applyFont="1" applyFill="1" applyBorder="1" applyAlignment="1">
      <alignment horizontal="left" vertical="center" wrapText="1"/>
    </xf>
    <xf numFmtId="0" fontId="32" fillId="5" borderId="1" xfId="0" applyFont="1" applyFill="1" applyBorder="1" applyAlignment="1">
      <alignment horizontal="left" vertical="center" wrapText="1"/>
    </xf>
    <xf numFmtId="0" fontId="33" fillId="12" borderId="1" xfId="0" applyFont="1" applyFill="1" applyBorder="1" applyAlignment="1">
      <alignment horizontal="left" vertical="center" wrapText="1"/>
    </xf>
    <xf numFmtId="0" fontId="32" fillId="12" borderId="1" xfId="0" applyFont="1" applyFill="1" applyBorder="1" applyAlignment="1">
      <alignment horizontal="left" vertical="center" wrapText="1"/>
    </xf>
    <xf numFmtId="0" fontId="34" fillId="2" borderId="1" xfId="0" applyFont="1" applyFill="1" applyBorder="1" applyAlignment="1">
      <alignment horizontal="center" vertical="center" wrapText="1"/>
    </xf>
    <xf numFmtId="0" fontId="35" fillId="4" borderId="1" xfId="0" applyFont="1" applyFill="1" applyBorder="1" applyAlignment="1">
      <alignment horizontal="left" vertical="center"/>
    </xf>
    <xf numFmtId="0" fontId="36" fillId="12" borderId="1" xfId="0" applyFont="1" applyFill="1" applyBorder="1" applyAlignment="1">
      <alignment horizontal="left" vertical="center" wrapText="1"/>
    </xf>
    <xf numFmtId="0" fontId="33" fillId="12" borderId="1" xfId="0" applyFont="1" applyFill="1" applyBorder="1" applyAlignment="1">
      <alignment horizontal="left" vertical="center" wrapText="1"/>
    </xf>
    <xf numFmtId="0" fontId="37" fillId="2" borderId="1" xfId="0" applyFont="1" applyFill="1" applyBorder="1" applyAlignment="1">
      <alignment horizontal="center" vertical="center" wrapText="1"/>
    </xf>
    <xf numFmtId="0" fontId="38" fillId="4" borderId="1" xfId="0" applyFont="1" applyFill="1" applyBorder="1" applyAlignment="1">
      <alignment horizontal="left" vertical="center" wrapText="1"/>
    </xf>
    <xf numFmtId="0" fontId="39" fillId="5" borderId="1" xfId="0" applyFont="1" applyFill="1" applyBorder="1" applyAlignment="1">
      <alignment horizontal="left" vertical="top" wrapText="1"/>
    </xf>
    <xf numFmtId="0" fontId="40" fillId="4" borderId="1" xfId="0" applyFont="1" applyFill="1" applyBorder="1" applyAlignment="1">
      <alignment horizontal="left" vertical="center"/>
    </xf>
    <xf numFmtId="0" fontId="33" fillId="4" borderId="1" xfId="0" applyFont="1" applyFill="1" applyBorder="1" applyAlignment="1">
      <alignment horizontal="left" vertical="center" wrapText="1"/>
    </xf>
    <xf numFmtId="0" fontId="33" fillId="5" borderId="1" xfId="0" applyFont="1" applyFill="1" applyBorder="1" applyAlignment="1">
      <alignment horizontal="left" vertical="center" wrapText="1"/>
    </xf>
    <xf numFmtId="0" fontId="41" fillId="5" borderId="1" xfId="0" applyFont="1" applyFill="1" applyBorder="1" applyAlignment="1">
      <alignment horizontal="center" vertic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51"/>
  <sheetViews>
    <sheetView showGridLines="0" topLeftCell="A28" workbookViewId="0">
      <selection activeCell="E30" sqref="E30"/>
    </sheetView>
  </sheetViews>
  <sheetFormatPr defaultRowHeight="14.4" x14ac:dyDescent="0.3"/>
  <cols>
    <col min="1" max="1" width="3" customWidth="1"/>
    <col min="2" max="2" width="26" customWidth="1"/>
    <col min="3" max="3" width="28" customWidth="1"/>
    <col min="4" max="4" width="26" customWidth="1"/>
    <col min="5" max="5" width="28" customWidth="1"/>
    <col min="6" max="6" width="5" customWidth="1"/>
  </cols>
  <sheetData>
    <row r="1" spans="2:5" ht="36" customHeight="1" x14ac:dyDescent="0.3">
      <c r="B1" s="111" t="s">
        <v>0</v>
      </c>
      <c r="C1" s="110"/>
      <c r="D1" s="110"/>
      <c r="E1" s="110"/>
    </row>
    <row r="2" spans="2:5" ht="19.95" customHeight="1" x14ac:dyDescent="0.3">
      <c r="B2" s="112" t="s">
        <v>1</v>
      </c>
      <c r="C2" s="110"/>
      <c r="D2" s="110"/>
      <c r="E2" s="110"/>
    </row>
    <row r="3" spans="2:5" ht="7.9" customHeight="1" x14ac:dyDescent="0.3"/>
    <row r="4" spans="2:5" ht="16.2" customHeight="1" x14ac:dyDescent="0.3">
      <c r="B4" s="109" t="s">
        <v>2</v>
      </c>
      <c r="C4" s="110"/>
      <c r="D4" s="110"/>
      <c r="E4" s="110"/>
    </row>
    <row r="5" spans="2:5" ht="18" customHeight="1" x14ac:dyDescent="0.3">
      <c r="B5" s="2" t="s">
        <v>3</v>
      </c>
      <c r="C5" s="3" t="s">
        <v>518</v>
      </c>
      <c r="D5" s="4" t="s">
        <v>576</v>
      </c>
      <c r="E5" s="4"/>
    </row>
    <row r="6" spans="2:5" ht="18" customHeight="1" x14ac:dyDescent="0.3">
      <c r="B6" s="2" t="s">
        <v>4</v>
      </c>
      <c r="C6" s="3" t="s">
        <v>519</v>
      </c>
      <c r="D6" s="4" t="s">
        <v>577</v>
      </c>
      <c r="E6" s="4"/>
    </row>
    <row r="7" spans="2:5" ht="18" customHeight="1" x14ac:dyDescent="0.3">
      <c r="B7" s="2" t="s">
        <v>5</v>
      </c>
      <c r="C7" s="3" t="s">
        <v>520</v>
      </c>
      <c r="D7" s="4" t="s">
        <v>520</v>
      </c>
      <c r="E7" s="4"/>
    </row>
    <row r="8" spans="2:5" ht="18" customHeight="1" x14ac:dyDescent="0.3">
      <c r="B8" s="2" t="s">
        <v>6</v>
      </c>
      <c r="C8" s="3" t="s">
        <v>521</v>
      </c>
      <c r="D8" s="4" t="s">
        <v>578</v>
      </c>
      <c r="E8" s="4"/>
    </row>
    <row r="9" spans="2:5" ht="18" customHeight="1" x14ac:dyDescent="0.3">
      <c r="B9" s="2" t="s">
        <v>7</v>
      </c>
      <c r="C9" s="3" t="s">
        <v>522</v>
      </c>
      <c r="D9" s="4" t="s">
        <v>525</v>
      </c>
      <c r="E9" s="4"/>
    </row>
    <row r="10" spans="2:5" ht="18" customHeight="1" x14ac:dyDescent="0.3">
      <c r="B10" s="2" t="s">
        <v>8</v>
      </c>
      <c r="C10" s="3">
        <v>13</v>
      </c>
      <c r="D10" s="144">
        <v>13</v>
      </c>
      <c r="E10" s="4"/>
    </row>
    <row r="11" spans="2:5" ht="18" customHeight="1" x14ac:dyDescent="0.3">
      <c r="B11" s="2" t="s">
        <v>9</v>
      </c>
      <c r="C11" s="3" t="s">
        <v>523</v>
      </c>
      <c r="D11" s="4" t="s">
        <v>579</v>
      </c>
      <c r="E11" s="4"/>
    </row>
    <row r="12" spans="2:5" ht="7.9" customHeight="1" x14ac:dyDescent="0.3"/>
    <row r="13" spans="2:5" ht="16.2" customHeight="1" x14ac:dyDescent="0.3">
      <c r="B13" s="109" t="s">
        <v>10</v>
      </c>
      <c r="C13" s="110"/>
      <c r="D13" s="110"/>
      <c r="E13" s="110"/>
    </row>
    <row r="14" spans="2:5" ht="16.2" customHeight="1" x14ac:dyDescent="0.3">
      <c r="B14" s="113" t="s">
        <v>11</v>
      </c>
      <c r="C14" s="110"/>
      <c r="D14" s="110"/>
      <c r="E14" s="110"/>
    </row>
    <row r="15" spans="2:5" ht="18" customHeight="1" x14ac:dyDescent="0.3">
      <c r="B15" s="1" t="s">
        <v>12</v>
      </c>
      <c r="C15" s="1" t="s">
        <v>13</v>
      </c>
      <c r="D15" s="1" t="s">
        <v>14</v>
      </c>
      <c r="E15" s="1" t="s">
        <v>15</v>
      </c>
    </row>
    <row r="16" spans="2:5" ht="16.899999999999999" customHeight="1" x14ac:dyDescent="0.3">
      <c r="B16" s="5" t="s">
        <v>16</v>
      </c>
      <c r="C16" s="6" t="s">
        <v>17</v>
      </c>
      <c r="D16" s="6" t="s">
        <v>18</v>
      </c>
      <c r="E16" s="6" t="s">
        <v>19</v>
      </c>
    </row>
    <row r="17" spans="2:5" ht="16.899999999999999" customHeight="1" x14ac:dyDescent="0.3">
      <c r="B17" s="7" t="s">
        <v>20</v>
      </c>
      <c r="C17" s="8" t="s">
        <v>21</v>
      </c>
      <c r="D17" s="8" t="s">
        <v>22</v>
      </c>
      <c r="E17" s="8" t="s">
        <v>23</v>
      </c>
    </row>
    <row r="18" spans="2:5" ht="16.899999999999999" customHeight="1" x14ac:dyDescent="0.3">
      <c r="B18" s="9" t="s">
        <v>24</v>
      </c>
      <c r="C18" s="10" t="s">
        <v>25</v>
      </c>
      <c r="D18" s="10" t="s">
        <v>26</v>
      </c>
      <c r="E18" s="10" t="s">
        <v>27</v>
      </c>
    </row>
    <row r="19" spans="2:5" ht="16.899999999999999" customHeight="1" x14ac:dyDescent="0.3">
      <c r="B19" s="11" t="s">
        <v>28</v>
      </c>
      <c r="C19" s="12" t="s">
        <v>29</v>
      </c>
      <c r="D19" s="12" t="s">
        <v>30</v>
      </c>
      <c r="E19" s="12" t="s">
        <v>31</v>
      </c>
    </row>
    <row r="20" spans="2:5" ht="16.899999999999999" customHeight="1" x14ac:dyDescent="0.3">
      <c r="B20" s="13" t="s">
        <v>32</v>
      </c>
      <c r="C20" s="14" t="s">
        <v>33</v>
      </c>
      <c r="D20" s="14" t="s">
        <v>34</v>
      </c>
      <c r="E20" s="14" t="s">
        <v>35</v>
      </c>
    </row>
    <row r="21" spans="2:5" ht="16.899999999999999" customHeight="1" x14ac:dyDescent="0.3">
      <c r="B21" s="15" t="s">
        <v>36</v>
      </c>
      <c r="C21" s="16" t="s">
        <v>37</v>
      </c>
      <c r="D21" s="16" t="s">
        <v>38</v>
      </c>
      <c r="E21" s="16" t="s">
        <v>39</v>
      </c>
    </row>
    <row r="22" spans="2:5" ht="7.9" customHeight="1" x14ac:dyDescent="0.3"/>
    <row r="23" spans="2:5" ht="16.2" customHeight="1" x14ac:dyDescent="0.3">
      <c r="B23" s="109" t="s">
        <v>40</v>
      </c>
      <c r="C23" s="110"/>
      <c r="D23" s="110"/>
      <c r="E23" s="110"/>
    </row>
    <row r="24" spans="2:5" ht="16.2" customHeight="1" x14ac:dyDescent="0.3">
      <c r="B24" s="2" t="s">
        <v>41</v>
      </c>
      <c r="C24" s="2" t="s">
        <v>42</v>
      </c>
      <c r="D24" s="2" t="s">
        <v>43</v>
      </c>
      <c r="E24" s="2"/>
    </row>
    <row r="25" spans="2:5" ht="19.95" customHeight="1" x14ac:dyDescent="0.3">
      <c r="B25" s="145" t="s">
        <v>24</v>
      </c>
      <c r="C25" s="145" t="s">
        <v>25</v>
      </c>
      <c r="D25" s="145" t="s">
        <v>580</v>
      </c>
      <c r="E25" s="3"/>
    </row>
    <row r="26" spans="2:5" ht="7.9" customHeight="1" x14ac:dyDescent="0.3"/>
    <row r="27" spans="2:5" ht="16.2" customHeight="1" x14ac:dyDescent="0.3">
      <c r="B27" s="109" t="s">
        <v>44</v>
      </c>
      <c r="C27" s="110"/>
      <c r="D27" s="110"/>
      <c r="E27" s="110"/>
    </row>
    <row r="28" spans="2:5" ht="16.2" customHeight="1" x14ac:dyDescent="0.3">
      <c r="B28" s="17" t="s">
        <v>45</v>
      </c>
      <c r="C28" s="17" t="s">
        <v>13</v>
      </c>
      <c r="D28" s="17" t="s">
        <v>45</v>
      </c>
      <c r="E28" s="17" t="s">
        <v>14</v>
      </c>
    </row>
    <row r="29" spans="2:5" ht="18" customHeight="1" x14ac:dyDescent="0.3">
      <c r="B29" s="2" t="s">
        <v>46</v>
      </c>
      <c r="C29" s="3" t="s">
        <v>25</v>
      </c>
      <c r="D29" s="2" t="s">
        <v>46</v>
      </c>
      <c r="E29" s="146" t="s">
        <v>580</v>
      </c>
    </row>
    <row r="30" spans="2:5" ht="18" customHeight="1" x14ac:dyDescent="0.3">
      <c r="B30" s="2" t="s">
        <v>47</v>
      </c>
      <c r="C30" s="3" t="s">
        <v>573</v>
      </c>
      <c r="D30" s="2" t="s">
        <v>47</v>
      </c>
      <c r="E30" s="146" t="s">
        <v>581</v>
      </c>
    </row>
    <row r="31" spans="2:5" ht="18" customHeight="1" x14ac:dyDescent="0.3">
      <c r="B31" s="2" t="s">
        <v>48</v>
      </c>
      <c r="C31" s="146" t="s">
        <v>584</v>
      </c>
      <c r="D31" s="2" t="s">
        <v>48</v>
      </c>
      <c r="E31" s="146" t="s">
        <v>584</v>
      </c>
    </row>
    <row r="32" spans="2:5" ht="18" customHeight="1" x14ac:dyDescent="0.3">
      <c r="B32" s="2" t="s">
        <v>49</v>
      </c>
      <c r="C32" s="3">
        <v>6</v>
      </c>
      <c r="D32" s="2" t="s">
        <v>49</v>
      </c>
      <c r="E32" s="146" t="s">
        <v>582</v>
      </c>
    </row>
    <row r="33" spans="2:5" ht="18" customHeight="1" x14ac:dyDescent="0.3">
      <c r="B33" s="2" t="s">
        <v>50</v>
      </c>
      <c r="C33" s="3">
        <v>4.4000000000000004</v>
      </c>
      <c r="D33" s="2" t="s">
        <v>50</v>
      </c>
      <c r="E33" s="3">
        <v>4.5999999999999996</v>
      </c>
    </row>
    <row r="34" spans="2:5" ht="18" customHeight="1" x14ac:dyDescent="0.3">
      <c r="B34" s="2" t="s">
        <v>51</v>
      </c>
      <c r="C34" s="146" t="s">
        <v>583</v>
      </c>
      <c r="D34" s="2" t="s">
        <v>51</v>
      </c>
      <c r="E34" s="147">
        <v>46131</v>
      </c>
    </row>
    <row r="35" spans="2:5" ht="7.9" customHeight="1" x14ac:dyDescent="0.3"/>
    <row r="36" spans="2:5" ht="16.2" customHeight="1" x14ac:dyDescent="0.3">
      <c r="B36" s="109" t="s">
        <v>52</v>
      </c>
      <c r="C36" s="110"/>
      <c r="D36" s="110"/>
      <c r="E36" s="110"/>
    </row>
    <row r="37" spans="2:5" ht="16.2" customHeight="1" x14ac:dyDescent="0.3">
      <c r="B37" s="18" t="s">
        <v>53</v>
      </c>
      <c r="C37" s="18" t="s">
        <v>54</v>
      </c>
      <c r="D37" s="18" t="s">
        <v>55</v>
      </c>
      <c r="E37" s="18" t="s">
        <v>56</v>
      </c>
    </row>
    <row r="38" spans="2:5" ht="18" customHeight="1" x14ac:dyDescent="0.3">
      <c r="B38" s="19" t="s">
        <v>57</v>
      </c>
      <c r="C38" s="19" t="s">
        <v>58</v>
      </c>
      <c r="D38" s="19" t="s">
        <v>59</v>
      </c>
      <c r="E38" s="20"/>
    </row>
    <row r="39" spans="2:5" ht="18" customHeight="1" x14ac:dyDescent="0.3">
      <c r="B39" s="19" t="s">
        <v>60</v>
      </c>
      <c r="C39" s="19" t="s">
        <v>61</v>
      </c>
      <c r="D39" s="19" t="s">
        <v>59</v>
      </c>
      <c r="E39" s="20"/>
    </row>
    <row r="40" spans="2:5" ht="18" customHeight="1" x14ac:dyDescent="0.3">
      <c r="B40" s="19" t="s">
        <v>62</v>
      </c>
      <c r="C40" s="19" t="s">
        <v>63</v>
      </c>
      <c r="D40" s="19" t="s">
        <v>59</v>
      </c>
      <c r="E40" s="20"/>
    </row>
    <row r="41" spans="2:5" ht="18" customHeight="1" x14ac:dyDescent="0.3">
      <c r="B41" s="19" t="s">
        <v>64</v>
      </c>
      <c r="C41" s="19" t="s">
        <v>65</v>
      </c>
      <c r="D41" s="19" t="s">
        <v>66</v>
      </c>
      <c r="E41" s="20"/>
    </row>
    <row r="42" spans="2:5" ht="18" customHeight="1" x14ac:dyDescent="0.3">
      <c r="B42" s="19" t="s">
        <v>67</v>
      </c>
      <c r="C42" s="19" t="s">
        <v>68</v>
      </c>
      <c r="D42" s="19" t="s">
        <v>66</v>
      </c>
      <c r="E42" s="20"/>
    </row>
    <row r="43" spans="2:5" ht="18" customHeight="1" x14ac:dyDescent="0.3">
      <c r="B43" s="19" t="s">
        <v>69</v>
      </c>
      <c r="C43" s="19" t="s">
        <v>70</v>
      </c>
      <c r="D43" s="19" t="s">
        <v>66</v>
      </c>
      <c r="E43" s="20"/>
    </row>
    <row r="44" spans="2:5" ht="7.9" customHeight="1" x14ac:dyDescent="0.3"/>
    <row r="45" spans="2:5" ht="16.2" customHeight="1" x14ac:dyDescent="0.3">
      <c r="B45" s="109" t="s">
        <v>71</v>
      </c>
      <c r="C45" s="110"/>
      <c r="D45" s="110"/>
      <c r="E45" s="110"/>
    </row>
    <row r="46" spans="2:5" ht="16.2" customHeight="1" x14ac:dyDescent="0.3">
      <c r="B46" s="18" t="s">
        <v>72</v>
      </c>
      <c r="C46" s="18" t="s">
        <v>73</v>
      </c>
      <c r="D46" s="18" t="s">
        <v>74</v>
      </c>
      <c r="E46" s="18" t="s">
        <v>75</v>
      </c>
    </row>
    <row r="47" spans="2:5" ht="22.15" customHeight="1" x14ac:dyDescent="0.3">
      <c r="B47" s="21">
        <v>5</v>
      </c>
      <c r="C47" s="21" t="s">
        <v>76</v>
      </c>
      <c r="D47" s="20" t="s">
        <v>77</v>
      </c>
      <c r="E47" s="20" t="s">
        <v>78</v>
      </c>
    </row>
    <row r="48" spans="2:5" ht="22.15" customHeight="1" x14ac:dyDescent="0.3">
      <c r="B48" s="22">
        <v>4</v>
      </c>
      <c r="C48" s="22" t="s">
        <v>79</v>
      </c>
      <c r="D48" s="23" t="s">
        <v>80</v>
      </c>
      <c r="E48" s="23" t="s">
        <v>81</v>
      </c>
    </row>
    <row r="49" spans="2:5" ht="22.15" customHeight="1" x14ac:dyDescent="0.3">
      <c r="B49" s="24">
        <v>3</v>
      </c>
      <c r="C49" s="24" t="s">
        <v>82</v>
      </c>
      <c r="D49" s="25" t="s">
        <v>83</v>
      </c>
      <c r="E49" s="25" t="s">
        <v>84</v>
      </c>
    </row>
    <row r="50" spans="2:5" ht="22.15" customHeight="1" x14ac:dyDescent="0.3">
      <c r="B50" s="26">
        <v>2</v>
      </c>
      <c r="C50" s="26" t="s">
        <v>85</v>
      </c>
      <c r="D50" s="27" t="s">
        <v>86</v>
      </c>
      <c r="E50" s="27" t="s">
        <v>87</v>
      </c>
    </row>
    <row r="51" spans="2:5" ht="22.15" customHeight="1" x14ac:dyDescent="0.3">
      <c r="B51" s="28">
        <v>1</v>
      </c>
      <c r="C51" s="28" t="s">
        <v>88</v>
      </c>
      <c r="D51" s="29" t="s">
        <v>89</v>
      </c>
      <c r="E51" s="29" t="s">
        <v>90</v>
      </c>
    </row>
  </sheetData>
  <mergeCells count="9">
    <mergeCell ref="B45:E45"/>
    <mergeCell ref="B23:E23"/>
    <mergeCell ref="B27:E27"/>
    <mergeCell ref="B1:E1"/>
    <mergeCell ref="B4:E4"/>
    <mergeCell ref="B13:E13"/>
    <mergeCell ref="B2:E2"/>
    <mergeCell ref="B36:E36"/>
    <mergeCell ref="B14:E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42"/>
  <sheetViews>
    <sheetView showGridLines="0" topLeftCell="A41" workbookViewId="0">
      <selection activeCell="D32" sqref="D32"/>
    </sheetView>
  </sheetViews>
  <sheetFormatPr defaultRowHeight="14.4" x14ac:dyDescent="0.3"/>
  <cols>
    <col min="1" max="1" width="3" customWidth="1"/>
    <col min="2" max="2" width="24" customWidth="1"/>
    <col min="3" max="4" width="7" customWidth="1"/>
    <col min="5" max="5" width="40" customWidth="1"/>
    <col min="6" max="6" width="12" customWidth="1"/>
    <col min="7" max="7" width="5" customWidth="1"/>
  </cols>
  <sheetData>
    <row r="1" spans="2:6" ht="31.85" customHeight="1" x14ac:dyDescent="0.3">
      <c r="B1" s="116" t="s">
        <v>91</v>
      </c>
      <c r="C1" s="110"/>
      <c r="D1" s="110"/>
      <c r="E1" s="110"/>
      <c r="F1" s="110"/>
    </row>
    <row r="2" spans="2:6" ht="18" customHeight="1" x14ac:dyDescent="0.3">
      <c r="B2" s="121" t="s">
        <v>92</v>
      </c>
      <c r="C2" s="110"/>
      <c r="D2" s="110"/>
      <c r="E2" s="110"/>
      <c r="F2" s="110"/>
    </row>
    <row r="3" spans="2:6" ht="7.9" customHeight="1" x14ac:dyDescent="0.3"/>
    <row r="4" spans="2:6" ht="16.2" customHeight="1" x14ac:dyDescent="0.3">
      <c r="B4" s="109" t="s">
        <v>93</v>
      </c>
      <c r="C4" s="110"/>
      <c r="D4" s="110"/>
      <c r="E4" s="110"/>
      <c r="F4" s="110"/>
    </row>
    <row r="5" spans="2:6" ht="18" customHeight="1" x14ac:dyDescent="0.3">
      <c r="B5" s="2" t="s">
        <v>46</v>
      </c>
      <c r="C5" s="114" t="s">
        <v>25</v>
      </c>
      <c r="D5" s="110"/>
      <c r="E5" s="110"/>
      <c r="F5" s="110"/>
    </row>
    <row r="6" spans="2:6" ht="18" customHeight="1" x14ac:dyDescent="0.3">
      <c r="B6" s="2" t="s">
        <v>94</v>
      </c>
      <c r="C6" s="114" t="s">
        <v>524</v>
      </c>
      <c r="D6" s="110"/>
      <c r="E6" s="110"/>
      <c r="F6" s="110"/>
    </row>
    <row r="7" spans="2:6" ht="18" customHeight="1" x14ac:dyDescent="0.3">
      <c r="B7" s="2" t="s">
        <v>95</v>
      </c>
      <c r="C7" s="114" t="s">
        <v>96</v>
      </c>
      <c r="D7" s="110"/>
      <c r="E7" s="110"/>
      <c r="F7" s="110"/>
    </row>
    <row r="8" spans="2:6" ht="18" customHeight="1" x14ac:dyDescent="0.3">
      <c r="B8" s="2" t="s">
        <v>97</v>
      </c>
      <c r="C8" s="114" t="s">
        <v>525</v>
      </c>
      <c r="D8" s="110"/>
      <c r="E8" s="110"/>
      <c r="F8" s="110"/>
    </row>
    <row r="9" spans="2:6" ht="18" customHeight="1" x14ac:dyDescent="0.3">
      <c r="B9" s="2" t="s">
        <v>98</v>
      </c>
      <c r="C9" s="114" t="s">
        <v>99</v>
      </c>
      <c r="D9" s="110"/>
      <c r="E9" s="110"/>
      <c r="F9" s="110"/>
    </row>
    <row r="10" spans="2:6" ht="18" customHeight="1" x14ac:dyDescent="0.3">
      <c r="B10" s="2" t="s">
        <v>100</v>
      </c>
      <c r="C10" s="114" t="s">
        <v>526</v>
      </c>
      <c r="D10" s="110"/>
      <c r="E10" s="110"/>
      <c r="F10" s="110"/>
    </row>
    <row r="11" spans="2:6" ht="18" customHeight="1" x14ac:dyDescent="0.3">
      <c r="B11" s="2" t="s">
        <v>101</v>
      </c>
      <c r="C11" s="114" t="s">
        <v>527</v>
      </c>
      <c r="D11" s="110"/>
      <c r="E11" s="110"/>
      <c r="F11" s="110"/>
    </row>
    <row r="12" spans="2:6" ht="18" customHeight="1" x14ac:dyDescent="0.3">
      <c r="B12" s="2" t="s">
        <v>102</v>
      </c>
      <c r="C12" s="114" t="s">
        <v>528</v>
      </c>
      <c r="D12" s="110"/>
      <c r="E12" s="110"/>
      <c r="F12" s="110"/>
    </row>
    <row r="13" spans="2:6" ht="7.9" customHeight="1" x14ac:dyDescent="0.3"/>
    <row r="14" spans="2:6" ht="16.2" customHeight="1" x14ac:dyDescent="0.3">
      <c r="B14" s="109" t="s">
        <v>103</v>
      </c>
      <c r="C14" s="110"/>
      <c r="D14" s="110"/>
      <c r="E14" s="110"/>
      <c r="F14" s="110"/>
    </row>
    <row r="15" spans="2:6" ht="23.95" customHeight="1" x14ac:dyDescent="0.3">
      <c r="B15" s="18" t="s">
        <v>104</v>
      </c>
      <c r="C15" s="18" t="s">
        <v>72</v>
      </c>
      <c r="D15" s="18" t="s">
        <v>105</v>
      </c>
      <c r="E15" s="18" t="s">
        <v>106</v>
      </c>
      <c r="F15" s="18" t="s">
        <v>107</v>
      </c>
    </row>
    <row r="16" spans="2:6" ht="55.15" customHeight="1" x14ac:dyDescent="0.3">
      <c r="B16" s="22" t="s">
        <v>108</v>
      </c>
      <c r="C16" s="30">
        <v>5</v>
      </c>
      <c r="D16" s="31" t="s">
        <v>109</v>
      </c>
      <c r="E16" s="32" t="s">
        <v>529</v>
      </c>
      <c r="F16" s="33">
        <f>C16*0.15</f>
        <v>0.75</v>
      </c>
    </row>
    <row r="17" spans="2:6" ht="55.15" customHeight="1" x14ac:dyDescent="0.3">
      <c r="B17" s="21" t="s">
        <v>110</v>
      </c>
      <c r="C17" s="34">
        <v>4</v>
      </c>
      <c r="D17" s="35" t="s">
        <v>111</v>
      </c>
      <c r="E17" s="32" t="s">
        <v>530</v>
      </c>
      <c r="F17" s="36">
        <f>C17*0.12</f>
        <v>0.48</v>
      </c>
    </row>
    <row r="18" spans="2:6" ht="55.15" customHeight="1" x14ac:dyDescent="0.3">
      <c r="B18" s="37" t="s">
        <v>112</v>
      </c>
      <c r="C18" s="38">
        <v>5</v>
      </c>
      <c r="D18" s="39" t="s">
        <v>113</v>
      </c>
      <c r="E18" s="32" t="s">
        <v>531</v>
      </c>
      <c r="F18" s="40">
        <f>C18*0.1</f>
        <v>0.5</v>
      </c>
    </row>
    <row r="19" spans="2:6" ht="55.15" customHeight="1" x14ac:dyDescent="0.3">
      <c r="B19" s="24" t="s">
        <v>114</v>
      </c>
      <c r="C19" s="41">
        <v>4</v>
      </c>
      <c r="D19" s="42" t="s">
        <v>109</v>
      </c>
      <c r="E19" s="32" t="s">
        <v>532</v>
      </c>
      <c r="F19" s="43">
        <f>C19*0.15</f>
        <v>0.6</v>
      </c>
    </row>
    <row r="20" spans="2:6" ht="55.15" customHeight="1" x14ac:dyDescent="0.3">
      <c r="B20" s="22" t="s">
        <v>115</v>
      </c>
      <c r="C20" s="30">
        <v>4</v>
      </c>
      <c r="D20" s="31" t="s">
        <v>109</v>
      </c>
      <c r="E20" s="32" t="s">
        <v>533</v>
      </c>
      <c r="F20" s="33">
        <f>C20*0.15</f>
        <v>0.6</v>
      </c>
    </row>
    <row r="21" spans="2:6" ht="55.15" customHeight="1" x14ac:dyDescent="0.3">
      <c r="B21" s="21" t="s">
        <v>116</v>
      </c>
      <c r="C21" s="34">
        <v>5</v>
      </c>
      <c r="D21" s="35" t="s">
        <v>109</v>
      </c>
      <c r="E21" s="32" t="s">
        <v>534</v>
      </c>
      <c r="F21" s="36">
        <f>C21*0.15</f>
        <v>0.75</v>
      </c>
    </row>
    <row r="22" spans="2:6" ht="55.15" customHeight="1" x14ac:dyDescent="0.3">
      <c r="B22" s="44" t="s">
        <v>117</v>
      </c>
      <c r="C22" s="45">
        <v>4</v>
      </c>
      <c r="D22" s="46" t="s">
        <v>118</v>
      </c>
      <c r="E22" s="32" t="s">
        <v>535</v>
      </c>
      <c r="F22" s="47">
        <f>C22*0.08</f>
        <v>0.32</v>
      </c>
    </row>
    <row r="23" spans="2:6" ht="55.15" customHeight="1" x14ac:dyDescent="0.3">
      <c r="B23" s="37" t="s">
        <v>119</v>
      </c>
      <c r="C23" s="38">
        <v>5</v>
      </c>
      <c r="D23" s="39" t="s">
        <v>113</v>
      </c>
      <c r="E23" s="32" t="s">
        <v>536</v>
      </c>
      <c r="F23" s="40">
        <f>C23*0.1</f>
        <v>0.5</v>
      </c>
    </row>
    <row r="24" spans="2:6" ht="23.95" customHeight="1" x14ac:dyDescent="0.3">
      <c r="B24" s="115" t="s">
        <v>537</v>
      </c>
      <c r="C24" s="110"/>
      <c r="D24" s="110"/>
      <c r="E24" s="110"/>
      <c r="F24" s="48">
        <f>SUM(F16:F23)</f>
        <v>4.5</v>
      </c>
    </row>
    <row r="25" spans="2:6" ht="7.9" customHeight="1" x14ac:dyDescent="0.3"/>
    <row r="26" spans="2:6" ht="16.2" customHeight="1" x14ac:dyDescent="0.3">
      <c r="B26" s="109" t="s">
        <v>120</v>
      </c>
      <c r="C26" s="110"/>
      <c r="D26" s="110"/>
      <c r="E26" s="110"/>
      <c r="F26" s="110"/>
    </row>
    <row r="27" spans="2:6" ht="18" customHeight="1" x14ac:dyDescent="0.3">
      <c r="B27" s="119" t="s">
        <v>121</v>
      </c>
      <c r="C27" s="120"/>
      <c r="D27" s="119"/>
      <c r="E27" s="122"/>
      <c r="F27" s="120"/>
    </row>
    <row r="28" spans="2:6" ht="30.05" customHeight="1" x14ac:dyDescent="0.3">
      <c r="B28" s="118" t="s">
        <v>122</v>
      </c>
      <c r="C28" s="110"/>
      <c r="D28" s="117" t="s">
        <v>538</v>
      </c>
      <c r="E28" s="110"/>
      <c r="F28" s="110"/>
    </row>
    <row r="29" spans="2:6" ht="30.05" customHeight="1" x14ac:dyDescent="0.3">
      <c r="B29" s="118" t="s">
        <v>123</v>
      </c>
      <c r="C29" s="110"/>
      <c r="D29" s="117" t="s">
        <v>539</v>
      </c>
      <c r="E29" s="110"/>
      <c r="F29" s="110"/>
    </row>
    <row r="30" spans="2:6" ht="30.05" customHeight="1" x14ac:dyDescent="0.3">
      <c r="B30" s="118" t="s">
        <v>124</v>
      </c>
      <c r="C30" s="110"/>
      <c r="D30" s="117" t="s">
        <v>540</v>
      </c>
      <c r="E30" s="110"/>
      <c r="F30" s="110"/>
    </row>
    <row r="31" spans="2:6" ht="30.05" customHeight="1" x14ac:dyDescent="0.3">
      <c r="B31" s="118" t="s">
        <v>125</v>
      </c>
      <c r="C31" s="110"/>
      <c r="D31" s="117" t="s">
        <v>541</v>
      </c>
      <c r="E31" s="110"/>
      <c r="F31" s="110"/>
    </row>
    <row r="32" spans="2:6" ht="7.9" customHeight="1" x14ac:dyDescent="0.3"/>
    <row r="33" spans="2:6" ht="16.2" customHeight="1" x14ac:dyDescent="0.3">
      <c r="B33" s="109" t="s">
        <v>126</v>
      </c>
      <c r="C33" s="110"/>
      <c r="D33" s="110"/>
      <c r="E33" s="110"/>
      <c r="F33" s="110"/>
    </row>
    <row r="34" spans="2:6" ht="18" customHeight="1" x14ac:dyDescent="0.3">
      <c r="B34" s="123" t="s">
        <v>127</v>
      </c>
      <c r="C34" s="110"/>
      <c r="D34" s="110"/>
      <c r="E34" s="110"/>
      <c r="F34" s="110"/>
    </row>
    <row r="35" spans="2:6" ht="18" customHeight="1" x14ac:dyDescent="0.3">
      <c r="B35" s="110"/>
      <c r="C35" s="110"/>
      <c r="D35" s="110"/>
      <c r="E35" s="110"/>
      <c r="F35" s="110"/>
    </row>
    <row r="36" spans="2:6" ht="18" customHeight="1" x14ac:dyDescent="0.3">
      <c r="B36" s="110"/>
      <c r="C36" s="110"/>
      <c r="D36" s="110"/>
      <c r="E36" s="110"/>
      <c r="F36" s="110"/>
    </row>
    <row r="37" spans="2:6" ht="18" customHeight="1" x14ac:dyDescent="0.3">
      <c r="B37" s="110"/>
      <c r="C37" s="110"/>
      <c r="D37" s="110"/>
      <c r="E37" s="110"/>
      <c r="F37" s="110"/>
    </row>
    <row r="38" spans="2:6" ht="18" customHeight="1" x14ac:dyDescent="0.3">
      <c r="B38" s="110"/>
      <c r="C38" s="110"/>
      <c r="D38" s="110"/>
      <c r="E38" s="110"/>
      <c r="F38" s="110"/>
    </row>
    <row r="39" spans="2:6" ht="18" customHeight="1" x14ac:dyDescent="0.3">
      <c r="B39" s="110"/>
      <c r="C39" s="110"/>
      <c r="D39" s="110"/>
      <c r="E39" s="110"/>
      <c r="F39" s="110"/>
    </row>
    <row r="40" spans="2:6" ht="18" customHeight="1" x14ac:dyDescent="0.3">
      <c r="B40" s="110"/>
      <c r="C40" s="110"/>
      <c r="D40" s="110"/>
      <c r="E40" s="110"/>
      <c r="F40" s="110"/>
    </row>
    <row r="41" spans="2:6" ht="18" customHeight="1" x14ac:dyDescent="0.3">
      <c r="B41" s="110"/>
      <c r="C41" s="110"/>
      <c r="D41" s="110"/>
      <c r="E41" s="110"/>
      <c r="F41" s="110"/>
    </row>
    <row r="42" spans="2:6" ht="18" customHeight="1" x14ac:dyDescent="0.3">
      <c r="B42" s="110"/>
      <c r="C42" s="110"/>
      <c r="D42" s="110"/>
      <c r="E42" s="110"/>
      <c r="F42" s="110"/>
    </row>
  </sheetData>
  <mergeCells count="26">
    <mergeCell ref="B33:F33"/>
    <mergeCell ref="C12:F12"/>
    <mergeCell ref="B34:F42"/>
    <mergeCell ref="C11:F11"/>
    <mergeCell ref="B26:F26"/>
    <mergeCell ref="B31:C31"/>
    <mergeCell ref="D31:F31"/>
    <mergeCell ref="D30:F30"/>
    <mergeCell ref="C5:F5"/>
    <mergeCell ref="D29:F29"/>
    <mergeCell ref="B29:C29"/>
    <mergeCell ref="B28:C28"/>
    <mergeCell ref="C10:F10"/>
    <mergeCell ref="C9:F9"/>
    <mergeCell ref="B30:C30"/>
    <mergeCell ref="B27:C27"/>
    <mergeCell ref="D28:F28"/>
    <mergeCell ref="C6:F6"/>
    <mergeCell ref="D27:F27"/>
    <mergeCell ref="C8:F8"/>
    <mergeCell ref="C7:F7"/>
    <mergeCell ref="B24:E24"/>
    <mergeCell ref="B1:F1"/>
    <mergeCell ref="B14:F14"/>
    <mergeCell ref="B2:F2"/>
    <mergeCell ref="B4:F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55"/>
  <sheetViews>
    <sheetView showGridLines="0" topLeftCell="A17" workbookViewId="0">
      <selection activeCell="C34" sqref="C34"/>
    </sheetView>
  </sheetViews>
  <sheetFormatPr defaultRowHeight="14.4" x14ac:dyDescent="0.3"/>
  <cols>
    <col min="1" max="1" width="3" customWidth="1"/>
    <col min="2" max="3" width="22" customWidth="1"/>
    <col min="4" max="5" width="10" customWidth="1"/>
    <col min="6" max="6" width="22" customWidth="1"/>
    <col min="7" max="7" width="5" customWidth="1"/>
  </cols>
  <sheetData>
    <row r="1" spans="2:6" ht="31.85" customHeight="1" x14ac:dyDescent="0.3">
      <c r="B1" s="116" t="s">
        <v>128</v>
      </c>
      <c r="C1" s="110"/>
      <c r="D1" s="110"/>
      <c r="E1" s="110"/>
      <c r="F1" s="110"/>
    </row>
    <row r="2" spans="2:6" ht="18" customHeight="1" x14ac:dyDescent="0.3">
      <c r="B2" s="121" t="s">
        <v>129</v>
      </c>
      <c r="C2" s="110"/>
      <c r="D2" s="110"/>
      <c r="E2" s="110"/>
      <c r="F2" s="110"/>
    </row>
    <row r="3" spans="2:6" ht="7.9" customHeight="1" x14ac:dyDescent="0.3"/>
    <row r="4" spans="2:6" ht="16.2" customHeight="1" x14ac:dyDescent="0.3">
      <c r="B4" s="109" t="s">
        <v>130</v>
      </c>
      <c r="C4" s="110"/>
      <c r="D4" s="110"/>
      <c r="E4" s="110"/>
      <c r="F4" s="110"/>
    </row>
    <row r="5" spans="2:6" ht="18" customHeight="1" x14ac:dyDescent="0.3">
      <c r="B5" s="2" t="s">
        <v>42</v>
      </c>
      <c r="C5" s="125" t="s">
        <v>25</v>
      </c>
      <c r="D5" s="110"/>
      <c r="E5" s="110"/>
      <c r="F5" s="110"/>
    </row>
    <row r="6" spans="2:6" ht="18" customHeight="1" x14ac:dyDescent="0.3">
      <c r="B6" s="2" t="s">
        <v>47</v>
      </c>
      <c r="C6" s="125" t="s">
        <v>573</v>
      </c>
      <c r="D6" s="110"/>
      <c r="E6" s="110"/>
      <c r="F6" s="110"/>
    </row>
    <row r="7" spans="2:6" ht="18" customHeight="1" x14ac:dyDescent="0.3">
      <c r="B7" s="2" t="s">
        <v>7</v>
      </c>
      <c r="C7" s="125" t="s">
        <v>574</v>
      </c>
      <c r="D7" s="110"/>
      <c r="E7" s="110"/>
      <c r="F7" s="110"/>
    </row>
    <row r="8" spans="2:6" ht="18" customHeight="1" x14ac:dyDescent="0.3">
      <c r="B8" s="2" t="s">
        <v>8</v>
      </c>
      <c r="C8" s="125">
        <v>13</v>
      </c>
      <c r="D8" s="110"/>
      <c r="E8" s="110"/>
      <c r="F8" s="110"/>
    </row>
    <row r="9" spans="2:6" ht="18" customHeight="1" x14ac:dyDescent="0.3">
      <c r="B9" s="2" t="s">
        <v>100</v>
      </c>
      <c r="C9" s="126">
        <v>46133</v>
      </c>
      <c r="D9" s="110"/>
      <c r="E9" s="110"/>
      <c r="F9" s="110"/>
    </row>
    <row r="10" spans="2:6" ht="18" customHeight="1" x14ac:dyDescent="0.3">
      <c r="B10" s="2" t="s">
        <v>131</v>
      </c>
      <c r="C10" s="125" t="s">
        <v>575</v>
      </c>
      <c r="D10" s="110"/>
      <c r="E10" s="110"/>
      <c r="F10" s="110"/>
    </row>
    <row r="11" spans="2:6" ht="10.15" customHeight="1" x14ac:dyDescent="0.3"/>
    <row r="12" spans="2:6" ht="16.2" customHeight="1" x14ac:dyDescent="0.3">
      <c r="B12" s="109" t="s">
        <v>132</v>
      </c>
      <c r="C12" s="110"/>
      <c r="D12" s="110"/>
      <c r="E12" s="110"/>
      <c r="F12" s="110"/>
    </row>
    <row r="13" spans="2:6" ht="19.95" customHeight="1" x14ac:dyDescent="0.3">
      <c r="B13" s="1" t="s">
        <v>133</v>
      </c>
      <c r="C13" s="1" t="s">
        <v>134</v>
      </c>
      <c r="D13" s="1" t="s">
        <v>135</v>
      </c>
      <c r="E13" s="1" t="s">
        <v>136</v>
      </c>
      <c r="F13" s="1" t="s">
        <v>137</v>
      </c>
    </row>
    <row r="14" spans="2:6" ht="28.15" customHeight="1" x14ac:dyDescent="0.3">
      <c r="B14" s="44" t="s">
        <v>138</v>
      </c>
      <c r="C14" s="49" t="s">
        <v>139</v>
      </c>
      <c r="D14" s="50" t="s">
        <v>542</v>
      </c>
      <c r="E14" s="50" t="s">
        <v>543</v>
      </c>
      <c r="F14" s="50"/>
    </row>
    <row r="15" spans="2:6" ht="28.15" customHeight="1" x14ac:dyDescent="0.3">
      <c r="B15" s="51" t="s">
        <v>140</v>
      </c>
      <c r="C15" s="19" t="s">
        <v>141</v>
      </c>
      <c r="D15" s="50" t="s">
        <v>542</v>
      </c>
      <c r="E15" s="50" t="s">
        <v>544</v>
      </c>
      <c r="F15" s="50"/>
    </row>
    <row r="16" spans="2:6" ht="28.15" customHeight="1" x14ac:dyDescent="0.3">
      <c r="B16" s="44" t="s">
        <v>142</v>
      </c>
      <c r="C16" s="49" t="s">
        <v>143</v>
      </c>
      <c r="D16" s="50" t="s">
        <v>542</v>
      </c>
      <c r="E16" s="50" t="s">
        <v>545</v>
      </c>
      <c r="F16" s="50"/>
    </row>
    <row r="17" spans="2:6" ht="28.15" customHeight="1" x14ac:dyDescent="0.3">
      <c r="B17" s="51" t="s">
        <v>144</v>
      </c>
      <c r="C17" s="19" t="s">
        <v>145</v>
      </c>
      <c r="D17" s="50" t="s">
        <v>542</v>
      </c>
      <c r="E17" s="50" t="s">
        <v>546</v>
      </c>
      <c r="F17" s="50"/>
    </row>
    <row r="18" spans="2:6" ht="28.15" customHeight="1" x14ac:dyDescent="0.3">
      <c r="B18" s="44" t="s">
        <v>146</v>
      </c>
      <c r="C18" s="49" t="s">
        <v>147</v>
      </c>
      <c r="D18" s="50" t="s">
        <v>542</v>
      </c>
      <c r="E18" s="50" t="s">
        <v>547</v>
      </c>
      <c r="F18" s="50"/>
    </row>
    <row r="19" spans="2:6" ht="23.95" customHeight="1" x14ac:dyDescent="0.3">
      <c r="B19" s="124" t="s">
        <v>148</v>
      </c>
      <c r="C19" s="110"/>
      <c r="D19" s="110"/>
      <c r="E19" s="52"/>
      <c r="F19" s="127" t="s">
        <v>149</v>
      </c>
    </row>
    <row r="20" spans="2:6" ht="10.15" customHeight="1" x14ac:dyDescent="0.3"/>
    <row r="21" spans="2:6" ht="16.2" customHeight="1" x14ac:dyDescent="0.3">
      <c r="B21" s="109" t="s">
        <v>150</v>
      </c>
      <c r="C21" s="110"/>
      <c r="D21" s="110"/>
      <c r="E21" s="110"/>
      <c r="F21" s="110"/>
    </row>
    <row r="22" spans="2:6" ht="19.95" customHeight="1" x14ac:dyDescent="0.3">
      <c r="B22" s="1" t="s">
        <v>151</v>
      </c>
      <c r="C22" s="1" t="s">
        <v>152</v>
      </c>
      <c r="D22" s="1" t="s">
        <v>153</v>
      </c>
      <c r="E22" s="1" t="s">
        <v>154</v>
      </c>
      <c r="F22" s="1" t="s">
        <v>136</v>
      </c>
    </row>
    <row r="23" spans="2:6" ht="23.95" customHeight="1" x14ac:dyDescent="0.3">
      <c r="B23" s="44" t="s">
        <v>155</v>
      </c>
      <c r="C23" s="49" t="s">
        <v>156</v>
      </c>
      <c r="D23" s="25">
        <v>1.4</v>
      </c>
      <c r="E23" s="49" t="s">
        <v>157</v>
      </c>
      <c r="F23" s="25" t="s">
        <v>552</v>
      </c>
    </row>
    <row r="24" spans="2:6" ht="23.95" customHeight="1" x14ac:dyDescent="0.3">
      <c r="B24" s="51" t="s">
        <v>158</v>
      </c>
      <c r="C24" s="19" t="s">
        <v>159</v>
      </c>
      <c r="D24" s="25" t="s">
        <v>548</v>
      </c>
      <c r="E24" s="19" t="s">
        <v>160</v>
      </c>
      <c r="F24" s="25" t="s">
        <v>553</v>
      </c>
    </row>
    <row r="25" spans="2:6" ht="23.95" customHeight="1" x14ac:dyDescent="0.3">
      <c r="B25" s="44" t="s">
        <v>161</v>
      </c>
      <c r="C25" s="49" t="s">
        <v>162</v>
      </c>
      <c r="D25" s="25" t="s">
        <v>549</v>
      </c>
      <c r="E25" s="49" t="s">
        <v>163</v>
      </c>
      <c r="F25" s="25" t="s">
        <v>554</v>
      </c>
    </row>
    <row r="26" spans="2:6" ht="23.95" customHeight="1" x14ac:dyDescent="0.3">
      <c r="B26" s="51" t="s">
        <v>164</v>
      </c>
      <c r="C26" s="19" t="s">
        <v>165</v>
      </c>
      <c r="D26" s="108">
        <v>3.2000000000000001E-2</v>
      </c>
      <c r="E26" s="19" t="s">
        <v>166</v>
      </c>
      <c r="F26" s="25" t="s">
        <v>555</v>
      </c>
    </row>
    <row r="27" spans="2:6" ht="23.95" customHeight="1" x14ac:dyDescent="0.3">
      <c r="B27" s="44" t="s">
        <v>167</v>
      </c>
      <c r="C27" s="49" t="s">
        <v>168</v>
      </c>
      <c r="D27" s="25" t="s">
        <v>550</v>
      </c>
      <c r="E27" s="49" t="s">
        <v>169</v>
      </c>
      <c r="F27" s="25" t="s">
        <v>556</v>
      </c>
    </row>
    <row r="28" spans="2:6" ht="23.95" customHeight="1" x14ac:dyDescent="0.3">
      <c r="B28" s="51" t="s">
        <v>170</v>
      </c>
      <c r="C28" s="19" t="s">
        <v>171</v>
      </c>
      <c r="D28" s="25" t="s">
        <v>551</v>
      </c>
      <c r="E28" s="19" t="s">
        <v>172</v>
      </c>
      <c r="F28" s="25" t="s">
        <v>557</v>
      </c>
    </row>
    <row r="29" spans="2:6" ht="23.95" customHeight="1" x14ac:dyDescent="0.3">
      <c r="B29" s="124" t="s">
        <v>173</v>
      </c>
      <c r="C29" s="110"/>
      <c r="D29" s="110"/>
      <c r="E29" s="52"/>
      <c r="F29" s="50" t="s">
        <v>149</v>
      </c>
    </row>
    <row r="30" spans="2:6" ht="10.15" customHeight="1" x14ac:dyDescent="0.3"/>
    <row r="31" spans="2:6" ht="16.2" customHeight="1" x14ac:dyDescent="0.3">
      <c r="B31" s="109" t="s">
        <v>174</v>
      </c>
      <c r="C31" s="110"/>
      <c r="D31" s="110"/>
      <c r="E31" s="110"/>
      <c r="F31" s="110"/>
    </row>
    <row r="32" spans="2:6" ht="19.95" customHeight="1" x14ac:dyDescent="0.3">
      <c r="B32" s="1" t="s">
        <v>175</v>
      </c>
      <c r="C32" s="1" t="s">
        <v>176</v>
      </c>
      <c r="D32" s="1" t="s">
        <v>177</v>
      </c>
      <c r="E32" s="1" t="s">
        <v>178</v>
      </c>
      <c r="F32" s="1" t="s">
        <v>136</v>
      </c>
    </row>
    <row r="33" spans="2:6" ht="23.95" customHeight="1" x14ac:dyDescent="0.3">
      <c r="B33" s="44" t="s">
        <v>179</v>
      </c>
      <c r="C33" s="49" t="s">
        <v>180</v>
      </c>
      <c r="D33" s="25" t="s">
        <v>558</v>
      </c>
      <c r="E33" s="25"/>
      <c r="F33" s="25" t="s">
        <v>559</v>
      </c>
    </row>
    <row r="34" spans="2:6" ht="23.95" customHeight="1" x14ac:dyDescent="0.3">
      <c r="B34" s="51" t="s">
        <v>181</v>
      </c>
      <c r="C34" s="19" t="s">
        <v>182</v>
      </c>
      <c r="D34" s="25" t="s">
        <v>558</v>
      </c>
      <c r="E34" s="25"/>
      <c r="F34" s="25" t="s">
        <v>560</v>
      </c>
    </row>
    <row r="35" spans="2:6" ht="23.95" customHeight="1" x14ac:dyDescent="0.3">
      <c r="B35" s="44" t="s">
        <v>183</v>
      </c>
      <c r="C35" s="49" t="s">
        <v>184</v>
      </c>
      <c r="D35" s="25" t="s">
        <v>558</v>
      </c>
      <c r="E35" s="25"/>
      <c r="F35" s="25" t="s">
        <v>561</v>
      </c>
    </row>
    <row r="36" spans="2:6" ht="23.95" customHeight="1" x14ac:dyDescent="0.3">
      <c r="B36" s="51" t="s">
        <v>185</v>
      </c>
      <c r="C36" s="19" t="s">
        <v>186</v>
      </c>
      <c r="D36" s="25" t="s">
        <v>558</v>
      </c>
      <c r="E36" s="25"/>
      <c r="F36" s="25" t="s">
        <v>562</v>
      </c>
    </row>
    <row r="37" spans="2:6" ht="23.95" customHeight="1" x14ac:dyDescent="0.3">
      <c r="B37" s="44" t="s">
        <v>187</v>
      </c>
      <c r="C37" s="49" t="s">
        <v>188</v>
      </c>
      <c r="D37" s="25" t="s">
        <v>558</v>
      </c>
      <c r="E37" s="25"/>
      <c r="F37" s="25" t="s">
        <v>563</v>
      </c>
    </row>
    <row r="38" spans="2:6" ht="23.95" customHeight="1" x14ac:dyDescent="0.3">
      <c r="B38" s="51" t="s">
        <v>189</v>
      </c>
      <c r="C38" s="19" t="s">
        <v>190</v>
      </c>
      <c r="D38" s="25" t="s">
        <v>558</v>
      </c>
      <c r="E38" s="25"/>
      <c r="F38" s="25" t="s">
        <v>564</v>
      </c>
    </row>
    <row r="39" spans="2:6" ht="23.95" customHeight="1" x14ac:dyDescent="0.3">
      <c r="B39" s="44" t="s">
        <v>191</v>
      </c>
      <c r="C39" s="49" t="s">
        <v>192</v>
      </c>
      <c r="D39" s="25" t="s">
        <v>558</v>
      </c>
      <c r="E39" s="25"/>
      <c r="F39" s="25" t="s">
        <v>565</v>
      </c>
    </row>
    <row r="40" spans="2:6" ht="23.95" customHeight="1" x14ac:dyDescent="0.3">
      <c r="B40" s="124" t="s">
        <v>193</v>
      </c>
      <c r="C40" s="110"/>
      <c r="D40" s="110"/>
      <c r="E40" s="52"/>
      <c r="F40" s="50" t="s">
        <v>149</v>
      </c>
    </row>
    <row r="41" spans="2:6" ht="10.15" customHeight="1" x14ac:dyDescent="0.3"/>
    <row r="42" spans="2:6" ht="16.2" customHeight="1" x14ac:dyDescent="0.3">
      <c r="B42" s="109" t="s">
        <v>194</v>
      </c>
      <c r="C42" s="110"/>
      <c r="D42" s="110"/>
      <c r="E42" s="110"/>
      <c r="F42" s="110"/>
    </row>
    <row r="43" spans="2:6" ht="19.95" customHeight="1" x14ac:dyDescent="0.3">
      <c r="B43" s="1" t="s">
        <v>54</v>
      </c>
      <c r="C43" s="1" t="s">
        <v>195</v>
      </c>
      <c r="D43" s="1" t="s">
        <v>196</v>
      </c>
      <c r="E43" s="1" t="s">
        <v>197</v>
      </c>
      <c r="F43" s="1" t="s">
        <v>198</v>
      </c>
    </row>
    <row r="44" spans="2:6" ht="23.95" customHeight="1" x14ac:dyDescent="0.3">
      <c r="B44" s="44" t="s">
        <v>199</v>
      </c>
      <c r="C44" s="49" t="s">
        <v>200</v>
      </c>
      <c r="D44" s="25">
        <v>28</v>
      </c>
      <c r="E44" s="25"/>
      <c r="F44" s="25" t="s">
        <v>566</v>
      </c>
    </row>
    <row r="45" spans="2:6" ht="23.95" customHeight="1" x14ac:dyDescent="0.3">
      <c r="B45" s="51" t="s">
        <v>201</v>
      </c>
      <c r="C45" s="19" t="s">
        <v>202</v>
      </c>
      <c r="D45" s="25">
        <v>18</v>
      </c>
      <c r="E45" s="25"/>
      <c r="F45" s="25" t="s">
        <v>566</v>
      </c>
    </row>
    <row r="46" spans="2:6" ht="23.95" customHeight="1" x14ac:dyDescent="0.3">
      <c r="B46" s="44" t="s">
        <v>203</v>
      </c>
      <c r="C46" s="49" t="s">
        <v>204</v>
      </c>
      <c r="D46" s="25">
        <v>12</v>
      </c>
      <c r="E46" s="25"/>
      <c r="F46" s="25" t="s">
        <v>566</v>
      </c>
    </row>
    <row r="47" spans="2:6" ht="23.95" customHeight="1" x14ac:dyDescent="0.3">
      <c r="B47" s="51" t="s">
        <v>205</v>
      </c>
      <c r="C47" s="19" t="s">
        <v>206</v>
      </c>
      <c r="D47" s="25">
        <v>15</v>
      </c>
      <c r="E47" s="25"/>
      <c r="F47" s="25" t="s">
        <v>566</v>
      </c>
    </row>
    <row r="48" spans="2:6" ht="23.95" customHeight="1" x14ac:dyDescent="0.3">
      <c r="B48" s="44" t="s">
        <v>207</v>
      </c>
      <c r="C48" s="49" t="s">
        <v>208</v>
      </c>
      <c r="D48" s="25">
        <v>9</v>
      </c>
      <c r="E48" s="25"/>
      <c r="F48" s="25" t="s">
        <v>566</v>
      </c>
    </row>
    <row r="49" spans="2:6" ht="16.2" customHeight="1" x14ac:dyDescent="0.3">
      <c r="B49" s="109" t="s">
        <v>209</v>
      </c>
      <c r="C49" s="110"/>
      <c r="D49" s="110"/>
      <c r="E49" s="110"/>
      <c r="F49" s="110"/>
    </row>
    <row r="50" spans="2:6" ht="18" customHeight="1" x14ac:dyDescent="0.3">
      <c r="B50" s="17" t="s">
        <v>210</v>
      </c>
      <c r="C50" s="17" t="s">
        <v>211</v>
      </c>
      <c r="D50" s="17" t="s">
        <v>121</v>
      </c>
      <c r="E50" s="17" t="s">
        <v>212</v>
      </c>
      <c r="F50" s="17" t="s">
        <v>213</v>
      </c>
    </row>
    <row r="51" spans="2:6" ht="22.15" customHeight="1" x14ac:dyDescent="0.3">
      <c r="B51" s="44" t="s">
        <v>214</v>
      </c>
      <c r="C51" s="49" t="s">
        <v>215</v>
      </c>
      <c r="D51" s="25" t="s">
        <v>567</v>
      </c>
      <c r="E51" s="25" t="s">
        <v>571</v>
      </c>
      <c r="F51" s="25">
        <v>5</v>
      </c>
    </row>
    <row r="52" spans="2:6" ht="22.15" customHeight="1" x14ac:dyDescent="0.3">
      <c r="B52" s="51" t="s">
        <v>216</v>
      </c>
      <c r="C52" s="19" t="s">
        <v>217</v>
      </c>
      <c r="D52" s="25" t="s">
        <v>568</v>
      </c>
      <c r="E52" s="25" t="s">
        <v>571</v>
      </c>
      <c r="F52" s="25">
        <v>5</v>
      </c>
    </row>
    <row r="53" spans="2:6" ht="22.15" customHeight="1" x14ac:dyDescent="0.3">
      <c r="B53" s="44" t="s">
        <v>218</v>
      </c>
      <c r="C53" s="49" t="s">
        <v>219</v>
      </c>
      <c r="D53" s="25" t="s">
        <v>569</v>
      </c>
      <c r="E53" s="25" t="s">
        <v>572</v>
      </c>
      <c r="F53" s="25">
        <v>3</v>
      </c>
    </row>
    <row r="54" spans="2:6" ht="22.15" customHeight="1" x14ac:dyDescent="0.3">
      <c r="B54" s="51" t="s">
        <v>220</v>
      </c>
      <c r="C54" s="19" t="s">
        <v>221</v>
      </c>
      <c r="D54" s="25" t="s">
        <v>570</v>
      </c>
      <c r="E54" s="25" t="s">
        <v>571</v>
      </c>
      <c r="F54" s="25">
        <v>5</v>
      </c>
    </row>
    <row r="55" spans="2:6" ht="23.95" customHeight="1" x14ac:dyDescent="0.3">
      <c r="B55" s="124" t="s">
        <v>222</v>
      </c>
      <c r="C55" s="110"/>
      <c r="D55" s="110"/>
      <c r="E55" s="52"/>
      <c r="F55" s="50" t="s">
        <v>149</v>
      </c>
    </row>
  </sheetData>
  <mergeCells count="19">
    <mergeCell ref="B55:D55"/>
    <mergeCell ref="C10:F10"/>
    <mergeCell ref="B49:F49"/>
    <mergeCell ref="C9:F9"/>
    <mergeCell ref="B2:F2"/>
    <mergeCell ref="B42:F42"/>
    <mergeCell ref="C6:F6"/>
    <mergeCell ref="B40:D40"/>
    <mergeCell ref="F19"/>
    <mergeCell ref="B4:F4"/>
    <mergeCell ref="C8:F8"/>
    <mergeCell ref="C7:F7"/>
    <mergeCell ref="B31:F31"/>
    <mergeCell ref="B29:D29"/>
    <mergeCell ref="B21:F21"/>
    <mergeCell ref="B12:F12"/>
    <mergeCell ref="B19:D19"/>
    <mergeCell ref="B1:F1"/>
    <mergeCell ref="C5:F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F29"/>
  <sheetViews>
    <sheetView showGridLines="0" topLeftCell="A20" workbookViewId="0"/>
  </sheetViews>
  <sheetFormatPr defaultRowHeight="14.4" x14ac:dyDescent="0.3"/>
  <cols>
    <col min="1" max="1" width="3" customWidth="1"/>
    <col min="2" max="2" width="25" customWidth="1"/>
    <col min="3" max="4" width="8" customWidth="1"/>
    <col min="5" max="5" width="44" customWidth="1"/>
    <col min="6" max="6" width="10" customWidth="1"/>
    <col min="7" max="7" width="5" customWidth="1"/>
  </cols>
  <sheetData>
    <row r="1" spans="2:6" ht="31.85" customHeight="1" x14ac:dyDescent="0.3">
      <c r="B1" s="116" t="s">
        <v>223</v>
      </c>
      <c r="C1" s="110"/>
      <c r="D1" s="110"/>
      <c r="E1" s="110"/>
      <c r="F1" s="110"/>
    </row>
    <row r="2" spans="2:6" ht="18" customHeight="1" x14ac:dyDescent="0.3">
      <c r="B2" s="121" t="s">
        <v>224</v>
      </c>
      <c r="C2" s="110"/>
      <c r="D2" s="110"/>
      <c r="E2" s="110"/>
      <c r="F2" s="110"/>
    </row>
    <row r="3" spans="2:6" ht="7.9" customHeight="1" x14ac:dyDescent="0.3"/>
    <row r="4" spans="2:6" ht="16.2" customHeight="1" x14ac:dyDescent="0.3">
      <c r="B4" s="109" t="s">
        <v>225</v>
      </c>
      <c r="C4" s="110"/>
      <c r="D4" s="110"/>
      <c r="E4" s="110"/>
      <c r="F4" s="110"/>
    </row>
    <row r="5" spans="2:6" ht="18" customHeight="1" x14ac:dyDescent="0.3">
      <c r="B5" s="2" t="s">
        <v>46</v>
      </c>
      <c r="C5" s="125"/>
      <c r="D5" s="110"/>
      <c r="E5" s="110"/>
      <c r="F5" s="110"/>
    </row>
    <row r="6" spans="2:6" ht="18" customHeight="1" x14ac:dyDescent="0.3">
      <c r="B6" s="2" t="s">
        <v>226</v>
      </c>
      <c r="C6" s="125"/>
      <c r="D6" s="110"/>
      <c r="E6" s="110"/>
      <c r="F6" s="110"/>
    </row>
    <row r="7" spans="2:6" ht="18" customHeight="1" x14ac:dyDescent="0.3">
      <c r="B7" s="2" t="s">
        <v>97</v>
      </c>
      <c r="C7" s="125"/>
      <c r="D7" s="110"/>
      <c r="E7" s="110"/>
      <c r="F7" s="110"/>
    </row>
    <row r="8" spans="2:6" ht="18" customHeight="1" x14ac:dyDescent="0.3">
      <c r="B8" s="2" t="s">
        <v>8</v>
      </c>
      <c r="C8" s="125"/>
      <c r="D8" s="110"/>
      <c r="E8" s="110"/>
      <c r="F8" s="110"/>
    </row>
    <row r="9" spans="2:6" ht="18" customHeight="1" x14ac:dyDescent="0.3">
      <c r="B9" s="2" t="s">
        <v>227</v>
      </c>
      <c r="C9" s="125"/>
      <c r="D9" s="110"/>
      <c r="E9" s="110"/>
      <c r="F9" s="110"/>
    </row>
    <row r="10" spans="2:6" ht="7.9" customHeight="1" x14ac:dyDescent="0.3"/>
    <row r="11" spans="2:6" ht="16.2" customHeight="1" x14ac:dyDescent="0.3">
      <c r="B11" s="109" t="s">
        <v>228</v>
      </c>
      <c r="C11" s="110"/>
      <c r="D11" s="110"/>
      <c r="E11" s="110"/>
      <c r="F11" s="110"/>
    </row>
    <row r="12" spans="2:6" ht="30.05" customHeight="1" x14ac:dyDescent="0.3">
      <c r="B12" s="18" t="s">
        <v>229</v>
      </c>
      <c r="C12" s="18" t="s">
        <v>230</v>
      </c>
      <c r="D12" s="18" t="s">
        <v>105</v>
      </c>
      <c r="E12" s="18" t="s">
        <v>231</v>
      </c>
      <c r="F12" s="18" t="s">
        <v>232</v>
      </c>
    </row>
    <row r="13" spans="2:6" ht="70.2" customHeight="1" x14ac:dyDescent="0.3">
      <c r="B13" s="53" t="s">
        <v>108</v>
      </c>
      <c r="C13" s="54"/>
      <c r="D13" s="46" t="s">
        <v>109</v>
      </c>
      <c r="E13" s="55" t="s">
        <v>233</v>
      </c>
      <c r="F13" s="47">
        <f>C13*0.15</f>
        <v>0</v>
      </c>
    </row>
    <row r="14" spans="2:6" ht="70.2" customHeight="1" x14ac:dyDescent="0.3">
      <c r="B14" s="56" t="s">
        <v>110</v>
      </c>
      <c r="C14" s="54"/>
      <c r="D14" s="57" t="s">
        <v>111</v>
      </c>
      <c r="E14" s="55" t="s">
        <v>234</v>
      </c>
      <c r="F14" s="58">
        <f>C14*0.12</f>
        <v>0</v>
      </c>
    </row>
    <row r="15" spans="2:6" ht="70.2" customHeight="1" x14ac:dyDescent="0.3">
      <c r="B15" s="53" t="s">
        <v>112</v>
      </c>
      <c r="C15" s="54"/>
      <c r="D15" s="46" t="s">
        <v>113</v>
      </c>
      <c r="E15" s="55" t="s">
        <v>235</v>
      </c>
      <c r="F15" s="47">
        <f>C15*0.1</f>
        <v>0</v>
      </c>
    </row>
    <row r="16" spans="2:6" ht="70.2" customHeight="1" x14ac:dyDescent="0.3">
      <c r="B16" s="56" t="s">
        <v>114</v>
      </c>
      <c r="C16" s="54"/>
      <c r="D16" s="57" t="s">
        <v>109</v>
      </c>
      <c r="E16" s="55" t="s">
        <v>236</v>
      </c>
      <c r="F16" s="58">
        <f>C16*0.15</f>
        <v>0</v>
      </c>
    </row>
    <row r="17" spans="2:6" ht="70.2" customHeight="1" x14ac:dyDescent="0.3">
      <c r="B17" s="53" t="s">
        <v>115</v>
      </c>
      <c r="C17" s="54"/>
      <c r="D17" s="46" t="s">
        <v>109</v>
      </c>
      <c r="E17" s="55" t="s">
        <v>237</v>
      </c>
      <c r="F17" s="47">
        <f>C17*0.15</f>
        <v>0</v>
      </c>
    </row>
    <row r="18" spans="2:6" ht="70.2" customHeight="1" x14ac:dyDescent="0.3">
      <c r="B18" s="56" t="s">
        <v>116</v>
      </c>
      <c r="C18" s="54"/>
      <c r="D18" s="57" t="s">
        <v>109</v>
      </c>
      <c r="E18" s="55" t="s">
        <v>238</v>
      </c>
      <c r="F18" s="58">
        <f>C18*0.15</f>
        <v>0</v>
      </c>
    </row>
    <row r="19" spans="2:6" ht="70.2" customHeight="1" x14ac:dyDescent="0.3">
      <c r="B19" s="53" t="s">
        <v>117</v>
      </c>
      <c r="C19" s="54"/>
      <c r="D19" s="46" t="s">
        <v>118</v>
      </c>
      <c r="E19" s="55" t="s">
        <v>239</v>
      </c>
      <c r="F19" s="47">
        <f>C19*0.08</f>
        <v>0</v>
      </c>
    </row>
    <row r="20" spans="2:6" ht="70.2" customHeight="1" x14ac:dyDescent="0.3">
      <c r="B20" s="56" t="s">
        <v>119</v>
      </c>
      <c r="C20" s="54"/>
      <c r="D20" s="57" t="s">
        <v>113</v>
      </c>
      <c r="E20" s="55" t="s">
        <v>240</v>
      </c>
      <c r="F20" s="58">
        <f>C20*0.1</f>
        <v>0</v>
      </c>
    </row>
    <row r="21" spans="2:6" ht="25.9" customHeight="1" x14ac:dyDescent="0.3">
      <c r="B21" s="115" t="s">
        <v>241</v>
      </c>
      <c r="C21" s="110"/>
      <c r="D21" s="110"/>
      <c r="E21" s="110"/>
      <c r="F21" s="48">
        <f>SUM(F13:F20)</f>
        <v>0</v>
      </c>
    </row>
    <row r="22" spans="2:6" ht="10.15" customHeight="1" x14ac:dyDescent="0.3"/>
    <row r="23" spans="2:6" ht="16.2" customHeight="1" x14ac:dyDescent="0.3">
      <c r="B23" s="109" t="s">
        <v>242</v>
      </c>
      <c r="C23" s="110"/>
      <c r="D23" s="110"/>
      <c r="E23" s="110"/>
      <c r="F23" s="110"/>
    </row>
    <row r="24" spans="2:6" ht="18" customHeight="1" x14ac:dyDescent="0.3">
      <c r="B24" s="119" t="s">
        <v>243</v>
      </c>
      <c r="C24" s="17" t="s">
        <v>244</v>
      </c>
      <c r="D24" s="119"/>
      <c r="E24" s="120"/>
      <c r="F24" s="17"/>
    </row>
    <row r="25" spans="2:6" ht="23.95" customHeight="1" x14ac:dyDescent="0.3">
      <c r="B25" s="59" t="s">
        <v>245</v>
      </c>
      <c r="C25" s="128" t="s">
        <v>246</v>
      </c>
      <c r="D25" s="110"/>
      <c r="E25" s="60"/>
      <c r="F25" s="61" t="s">
        <v>247</v>
      </c>
    </row>
    <row r="26" spans="2:6" ht="23.95" customHeight="1" x14ac:dyDescent="0.3">
      <c r="B26" s="62" t="s">
        <v>248</v>
      </c>
      <c r="C26" s="117" t="s">
        <v>249</v>
      </c>
      <c r="D26" s="110"/>
      <c r="E26" s="60"/>
      <c r="F26" s="61" t="s">
        <v>250</v>
      </c>
    </row>
    <row r="27" spans="2:6" ht="23.95" customHeight="1" x14ac:dyDescent="0.3">
      <c r="B27" s="59" t="s">
        <v>251</v>
      </c>
      <c r="C27" s="128" t="s">
        <v>252</v>
      </c>
      <c r="D27" s="110"/>
      <c r="E27" s="60"/>
      <c r="F27" s="61" t="s">
        <v>253</v>
      </c>
    </row>
    <row r="28" spans="2:6" ht="23.95" customHeight="1" x14ac:dyDescent="0.3">
      <c r="B28" s="62" t="s">
        <v>254</v>
      </c>
      <c r="C28" s="117" t="s">
        <v>255</v>
      </c>
      <c r="D28" s="110"/>
      <c r="E28" s="60"/>
      <c r="F28" s="61" t="s">
        <v>256</v>
      </c>
    </row>
    <row r="29" spans="2:6" ht="23.95" customHeight="1" x14ac:dyDescent="0.3">
      <c r="B29" s="59" t="s">
        <v>257</v>
      </c>
      <c r="C29" s="128" t="s">
        <v>258</v>
      </c>
      <c r="D29" s="110"/>
      <c r="E29" s="60"/>
      <c r="F29" s="61" t="s">
        <v>259</v>
      </c>
    </row>
  </sheetData>
  <mergeCells count="18">
    <mergeCell ref="B1:F1"/>
    <mergeCell ref="C5:F5"/>
    <mergeCell ref="C26:D26"/>
    <mergeCell ref="B4:F4"/>
    <mergeCell ref="C9:F9"/>
    <mergeCell ref="C29:D29"/>
    <mergeCell ref="D24:E24"/>
    <mergeCell ref="B2:F2"/>
    <mergeCell ref="C8:F8"/>
    <mergeCell ref="C25:D25"/>
    <mergeCell ref="B11:F11"/>
    <mergeCell ref="C27:D27"/>
    <mergeCell ref="B21:E21"/>
    <mergeCell ref="C6:F6"/>
    <mergeCell ref="C7:F7"/>
    <mergeCell ref="B24"/>
    <mergeCell ref="C28:D28"/>
    <mergeCell ref="B23:F2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A8811-1058-4F7F-95A6-5683BBCDD9EF}">
  <dimension ref="B1:F42"/>
  <sheetViews>
    <sheetView showGridLines="0" topLeftCell="A16" workbookViewId="0">
      <selection activeCell="C19" sqref="C19"/>
    </sheetView>
  </sheetViews>
  <sheetFormatPr defaultRowHeight="14.4" x14ac:dyDescent="0.3"/>
  <cols>
    <col min="1" max="1" width="3" customWidth="1"/>
    <col min="2" max="2" width="24" customWidth="1"/>
    <col min="3" max="4" width="7" customWidth="1"/>
    <col min="5" max="5" width="40" customWidth="1"/>
    <col min="6" max="6" width="12" customWidth="1"/>
    <col min="7" max="7" width="5" customWidth="1"/>
  </cols>
  <sheetData>
    <row r="1" spans="2:6" ht="31.85" customHeight="1" x14ac:dyDescent="0.3">
      <c r="B1" s="151" t="s">
        <v>604</v>
      </c>
      <c r="C1" s="110"/>
      <c r="D1" s="110"/>
      <c r="E1" s="110"/>
      <c r="F1" s="110"/>
    </row>
    <row r="2" spans="2:6" ht="18" customHeight="1" x14ac:dyDescent="0.3">
      <c r="B2" s="121" t="s">
        <v>92</v>
      </c>
      <c r="C2" s="110"/>
      <c r="D2" s="110"/>
      <c r="E2" s="110"/>
      <c r="F2" s="110"/>
    </row>
    <row r="3" spans="2:6" ht="7.9" customHeight="1" x14ac:dyDescent="0.3"/>
    <row r="4" spans="2:6" ht="16.2" customHeight="1" x14ac:dyDescent="0.3">
      <c r="B4" s="158" t="s">
        <v>607</v>
      </c>
      <c r="C4" s="110"/>
      <c r="D4" s="110"/>
      <c r="E4" s="110"/>
      <c r="F4" s="110"/>
    </row>
    <row r="5" spans="2:6" ht="18" customHeight="1" x14ac:dyDescent="0.3">
      <c r="B5" s="2" t="s">
        <v>46</v>
      </c>
      <c r="C5" s="150" t="s">
        <v>580</v>
      </c>
      <c r="D5" s="110"/>
      <c r="E5" s="110"/>
      <c r="F5" s="110"/>
    </row>
    <row r="6" spans="2:6" ht="18" customHeight="1" x14ac:dyDescent="0.3">
      <c r="B6" s="152" t="s">
        <v>94</v>
      </c>
      <c r="C6" s="150" t="s">
        <v>586</v>
      </c>
      <c r="D6" s="110"/>
      <c r="E6" s="110"/>
      <c r="F6" s="110"/>
    </row>
    <row r="7" spans="2:6" ht="18" customHeight="1" x14ac:dyDescent="0.3">
      <c r="B7" s="2" t="s">
        <v>95</v>
      </c>
      <c r="C7" s="150" t="s">
        <v>581</v>
      </c>
      <c r="D7" s="110"/>
      <c r="E7" s="110"/>
      <c r="F7" s="110"/>
    </row>
    <row r="8" spans="2:6" ht="18" customHeight="1" x14ac:dyDescent="0.3">
      <c r="B8" s="2" t="s">
        <v>97</v>
      </c>
      <c r="C8" s="150" t="s">
        <v>525</v>
      </c>
      <c r="D8" s="110"/>
      <c r="E8" s="110"/>
      <c r="F8" s="110"/>
    </row>
    <row r="9" spans="2:6" ht="18" customHeight="1" x14ac:dyDescent="0.3">
      <c r="B9" s="2" t="s">
        <v>98</v>
      </c>
      <c r="C9" s="114" t="s">
        <v>99</v>
      </c>
      <c r="D9" s="110"/>
      <c r="E9" s="110"/>
      <c r="F9" s="110"/>
    </row>
    <row r="10" spans="2:6" ht="17.75" customHeight="1" x14ac:dyDescent="0.3">
      <c r="B10" s="2" t="s">
        <v>100</v>
      </c>
      <c r="C10" s="150" t="s">
        <v>585</v>
      </c>
      <c r="D10" s="110"/>
      <c r="E10" s="110"/>
      <c r="F10" s="110"/>
    </row>
    <row r="11" spans="2:6" ht="30.05" customHeight="1" x14ac:dyDescent="0.3">
      <c r="B11" s="152" t="s">
        <v>101</v>
      </c>
      <c r="C11" s="150" t="s">
        <v>588</v>
      </c>
      <c r="D11" s="110"/>
      <c r="E11" s="110"/>
      <c r="F11" s="110"/>
    </row>
    <row r="12" spans="2:6" ht="27.15" customHeight="1" x14ac:dyDescent="0.3">
      <c r="B12" s="152" t="s">
        <v>102</v>
      </c>
      <c r="C12" s="150" t="s">
        <v>587</v>
      </c>
      <c r="D12" s="110"/>
      <c r="E12" s="110"/>
      <c r="F12" s="110"/>
    </row>
    <row r="13" spans="2:6" ht="7.9" customHeight="1" x14ac:dyDescent="0.3"/>
    <row r="14" spans="2:6" ht="16.2" customHeight="1" x14ac:dyDescent="0.3">
      <c r="B14" s="158" t="s">
        <v>608</v>
      </c>
      <c r="C14" s="110"/>
      <c r="D14" s="110"/>
      <c r="E14" s="110"/>
      <c r="F14" s="110"/>
    </row>
    <row r="15" spans="2:6" ht="23.95" customHeight="1" x14ac:dyDescent="0.3">
      <c r="B15" s="18" t="s">
        <v>104</v>
      </c>
      <c r="C15" s="18" t="s">
        <v>72</v>
      </c>
      <c r="D15" s="18" t="s">
        <v>105</v>
      </c>
      <c r="E15" s="155" t="s">
        <v>106</v>
      </c>
      <c r="F15" s="18" t="s">
        <v>107</v>
      </c>
    </row>
    <row r="16" spans="2:6" ht="55.15" customHeight="1" x14ac:dyDescent="0.3">
      <c r="B16" s="22" t="s">
        <v>108</v>
      </c>
      <c r="C16" s="30">
        <v>5</v>
      </c>
      <c r="D16" s="31" t="s">
        <v>109</v>
      </c>
      <c r="E16" s="153" t="s">
        <v>589</v>
      </c>
      <c r="F16" s="33">
        <f>C16*0.15</f>
        <v>0.75</v>
      </c>
    </row>
    <row r="17" spans="2:6" ht="55.15" customHeight="1" x14ac:dyDescent="0.3">
      <c r="B17" s="21" t="s">
        <v>110</v>
      </c>
      <c r="C17" s="34">
        <v>4</v>
      </c>
      <c r="D17" s="35" t="s">
        <v>111</v>
      </c>
      <c r="E17" s="153" t="s">
        <v>590</v>
      </c>
      <c r="F17" s="36">
        <f>C17*0.12</f>
        <v>0.48</v>
      </c>
    </row>
    <row r="18" spans="2:6" ht="55.15" customHeight="1" x14ac:dyDescent="0.3">
      <c r="B18" s="37" t="s">
        <v>112</v>
      </c>
      <c r="C18" s="38">
        <v>4</v>
      </c>
      <c r="D18" s="39" t="s">
        <v>113</v>
      </c>
      <c r="E18" s="153" t="s">
        <v>591</v>
      </c>
      <c r="F18" s="40">
        <f>C18*0.1</f>
        <v>0.4</v>
      </c>
    </row>
    <row r="19" spans="2:6" ht="55.15" customHeight="1" x14ac:dyDescent="0.3">
      <c r="B19" s="24" t="s">
        <v>114</v>
      </c>
      <c r="C19" s="41">
        <v>4</v>
      </c>
      <c r="D19" s="42" t="s">
        <v>109</v>
      </c>
      <c r="E19" s="153" t="s">
        <v>592</v>
      </c>
      <c r="F19" s="43">
        <f>C19*0.15</f>
        <v>0.6</v>
      </c>
    </row>
    <row r="20" spans="2:6" ht="55.15" customHeight="1" x14ac:dyDescent="0.3">
      <c r="B20" s="22" t="s">
        <v>115</v>
      </c>
      <c r="C20" s="30">
        <v>4</v>
      </c>
      <c r="D20" s="31" t="s">
        <v>109</v>
      </c>
      <c r="E20" s="153" t="s">
        <v>593</v>
      </c>
      <c r="F20" s="33">
        <f>C20*0.15</f>
        <v>0.6</v>
      </c>
    </row>
    <row r="21" spans="2:6" ht="55.15" customHeight="1" x14ac:dyDescent="0.3">
      <c r="B21" s="21" t="s">
        <v>116</v>
      </c>
      <c r="C21" s="34">
        <v>5</v>
      </c>
      <c r="D21" s="35" t="s">
        <v>109</v>
      </c>
      <c r="E21" s="153" t="s">
        <v>594</v>
      </c>
      <c r="F21" s="36">
        <f>C21*0.15</f>
        <v>0.75</v>
      </c>
    </row>
    <row r="22" spans="2:6" ht="55.15" customHeight="1" x14ac:dyDescent="0.3">
      <c r="B22" s="44" t="s">
        <v>117</v>
      </c>
      <c r="C22" s="45">
        <v>4</v>
      </c>
      <c r="D22" s="46" t="s">
        <v>118</v>
      </c>
      <c r="E22" s="153" t="s">
        <v>595</v>
      </c>
      <c r="F22" s="47">
        <f>C22*0.08</f>
        <v>0.32</v>
      </c>
    </row>
    <row r="23" spans="2:6" ht="55.15" customHeight="1" x14ac:dyDescent="0.3">
      <c r="B23" s="37" t="s">
        <v>119</v>
      </c>
      <c r="C23" s="38">
        <v>5</v>
      </c>
      <c r="D23" s="39" t="s">
        <v>113</v>
      </c>
      <c r="E23" s="153" t="s">
        <v>596</v>
      </c>
      <c r="F23" s="40">
        <f>C23*0.1</f>
        <v>0.5</v>
      </c>
    </row>
    <row r="24" spans="2:6" ht="23.95" customHeight="1" x14ac:dyDescent="0.3">
      <c r="B24" s="115" t="s">
        <v>537</v>
      </c>
      <c r="C24" s="110"/>
      <c r="D24" s="110"/>
      <c r="E24" s="110"/>
      <c r="F24" s="48">
        <f>SUM(F16:F23)</f>
        <v>4.4000000000000004</v>
      </c>
    </row>
    <row r="25" spans="2:6" ht="7.9" customHeight="1" x14ac:dyDescent="0.3"/>
    <row r="26" spans="2:6" ht="16.2" customHeight="1" x14ac:dyDescent="0.3">
      <c r="B26" s="109" t="s">
        <v>120</v>
      </c>
      <c r="C26" s="110"/>
      <c r="D26" s="110"/>
      <c r="E26" s="110"/>
      <c r="F26" s="110"/>
    </row>
    <row r="27" spans="2:6" ht="18" customHeight="1" x14ac:dyDescent="0.3">
      <c r="B27" s="119" t="s">
        <v>121</v>
      </c>
      <c r="C27" s="120"/>
      <c r="D27" s="119"/>
      <c r="E27" s="122"/>
      <c r="F27" s="120"/>
    </row>
    <row r="28" spans="2:6" ht="30.05" customHeight="1" x14ac:dyDescent="0.3">
      <c r="B28" s="156" t="s">
        <v>122</v>
      </c>
      <c r="C28" s="110"/>
      <c r="D28" s="154" t="s">
        <v>597</v>
      </c>
      <c r="E28" s="110"/>
      <c r="F28" s="110"/>
    </row>
    <row r="29" spans="2:6" ht="30.05" customHeight="1" x14ac:dyDescent="0.3">
      <c r="B29" s="156" t="s">
        <v>603</v>
      </c>
      <c r="C29" s="110"/>
      <c r="D29" s="154" t="s">
        <v>598</v>
      </c>
      <c r="E29" s="110"/>
      <c r="F29" s="110"/>
    </row>
    <row r="30" spans="2:6" ht="30.05" customHeight="1" x14ac:dyDescent="0.3">
      <c r="B30" s="156" t="s">
        <v>602</v>
      </c>
      <c r="C30" s="110"/>
      <c r="D30" s="154" t="s">
        <v>599</v>
      </c>
      <c r="E30" s="110"/>
      <c r="F30" s="110"/>
    </row>
    <row r="31" spans="2:6" ht="30.05" customHeight="1" x14ac:dyDescent="0.3">
      <c r="B31" s="156" t="s">
        <v>601</v>
      </c>
      <c r="C31" s="110"/>
      <c r="D31" s="154" t="s">
        <v>600</v>
      </c>
      <c r="E31" s="110"/>
      <c r="F31" s="110"/>
    </row>
    <row r="32" spans="2:6" ht="7.9" customHeight="1" x14ac:dyDescent="0.3"/>
    <row r="33" spans="2:6" ht="16.2" customHeight="1" x14ac:dyDescent="0.3">
      <c r="B33" s="109" t="s">
        <v>126</v>
      </c>
      <c r="C33" s="110"/>
      <c r="D33" s="110"/>
      <c r="E33" s="110"/>
      <c r="F33" s="110"/>
    </row>
    <row r="34" spans="2:6" ht="18" customHeight="1" x14ac:dyDescent="0.3">
      <c r="B34" s="157" t="s">
        <v>605</v>
      </c>
      <c r="C34" s="110"/>
      <c r="D34" s="110"/>
      <c r="E34" s="110"/>
      <c r="F34" s="110"/>
    </row>
    <row r="35" spans="2:6" ht="18" customHeight="1" x14ac:dyDescent="0.3">
      <c r="B35" s="110"/>
      <c r="C35" s="110"/>
      <c r="D35" s="110"/>
      <c r="E35" s="110"/>
      <c r="F35" s="110"/>
    </row>
    <row r="36" spans="2:6" ht="18" customHeight="1" x14ac:dyDescent="0.3">
      <c r="B36" s="110"/>
      <c r="C36" s="110"/>
      <c r="D36" s="110"/>
      <c r="E36" s="110"/>
      <c r="F36" s="110"/>
    </row>
    <row r="37" spans="2:6" ht="18" customHeight="1" x14ac:dyDescent="0.3">
      <c r="B37" s="110"/>
      <c r="C37" s="110"/>
      <c r="D37" s="110"/>
      <c r="E37" s="110"/>
      <c r="F37" s="110"/>
    </row>
    <row r="38" spans="2:6" ht="18" customHeight="1" x14ac:dyDescent="0.3">
      <c r="B38" s="110"/>
      <c r="C38" s="110"/>
      <c r="D38" s="110"/>
      <c r="E38" s="110"/>
      <c r="F38" s="110"/>
    </row>
    <row r="39" spans="2:6" ht="18" customHeight="1" x14ac:dyDescent="0.3">
      <c r="B39" s="110"/>
      <c r="C39" s="110"/>
      <c r="D39" s="110"/>
      <c r="E39" s="110"/>
      <c r="F39" s="110"/>
    </row>
    <row r="40" spans="2:6" ht="18" customHeight="1" x14ac:dyDescent="0.3">
      <c r="B40" s="110"/>
      <c r="C40" s="110"/>
      <c r="D40" s="110"/>
      <c r="E40" s="110"/>
      <c r="F40" s="110"/>
    </row>
    <row r="41" spans="2:6" ht="18" customHeight="1" x14ac:dyDescent="0.3">
      <c r="B41" s="110"/>
      <c r="C41" s="110"/>
      <c r="D41" s="110"/>
      <c r="E41" s="110"/>
      <c r="F41" s="110"/>
    </row>
    <row r="42" spans="2:6" ht="18" customHeight="1" x14ac:dyDescent="0.3">
      <c r="B42" s="110"/>
      <c r="C42" s="110"/>
      <c r="D42" s="110"/>
      <c r="E42" s="110"/>
      <c r="F42" s="110"/>
    </row>
  </sheetData>
  <mergeCells count="26">
    <mergeCell ref="B33:F33"/>
    <mergeCell ref="B34:F42"/>
    <mergeCell ref="B29:C29"/>
    <mergeCell ref="D29:F29"/>
    <mergeCell ref="B30:C30"/>
    <mergeCell ref="D30:F30"/>
    <mergeCell ref="B31:C31"/>
    <mergeCell ref="D31:F31"/>
    <mergeCell ref="B24:E24"/>
    <mergeCell ref="B26:F26"/>
    <mergeCell ref="B27:C27"/>
    <mergeCell ref="D27:F27"/>
    <mergeCell ref="B28:C28"/>
    <mergeCell ref="D28:F28"/>
    <mergeCell ref="C8:F8"/>
    <mergeCell ref="C9:F9"/>
    <mergeCell ref="C10:F10"/>
    <mergeCell ref="C11:F11"/>
    <mergeCell ref="C12:F12"/>
    <mergeCell ref="B14:F14"/>
    <mergeCell ref="B1:F1"/>
    <mergeCell ref="B2:F2"/>
    <mergeCell ref="B4:F4"/>
    <mergeCell ref="C5:F5"/>
    <mergeCell ref="C6:F6"/>
    <mergeCell ref="C7:F7"/>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77199-6238-456E-A744-19AB3B58D473}">
  <dimension ref="B1:F55"/>
  <sheetViews>
    <sheetView showGridLines="0" topLeftCell="A45" workbookViewId="0">
      <selection activeCell="G50" sqref="G50"/>
    </sheetView>
  </sheetViews>
  <sheetFormatPr defaultRowHeight="14.4" x14ac:dyDescent="0.3"/>
  <cols>
    <col min="1" max="1" width="3" customWidth="1"/>
    <col min="2" max="3" width="22" customWidth="1"/>
    <col min="4" max="5" width="10" customWidth="1"/>
    <col min="6" max="6" width="22" customWidth="1"/>
    <col min="7" max="7" width="5" customWidth="1"/>
  </cols>
  <sheetData>
    <row r="1" spans="2:6" ht="31.85" customHeight="1" x14ac:dyDescent="0.3">
      <c r="B1" s="151" t="s">
        <v>609</v>
      </c>
      <c r="C1" s="110"/>
      <c r="D1" s="110"/>
      <c r="E1" s="110"/>
      <c r="F1" s="110"/>
    </row>
    <row r="2" spans="2:6" ht="18" customHeight="1" x14ac:dyDescent="0.3">
      <c r="B2" s="121" t="s">
        <v>129</v>
      </c>
      <c r="C2" s="110"/>
      <c r="D2" s="110"/>
      <c r="E2" s="110"/>
      <c r="F2" s="110"/>
    </row>
    <row r="3" spans="2:6" ht="7.9" customHeight="1" x14ac:dyDescent="0.3"/>
    <row r="4" spans="2:6" ht="16.2" customHeight="1" x14ac:dyDescent="0.3">
      <c r="B4" s="158" t="s">
        <v>606</v>
      </c>
      <c r="C4" s="110"/>
      <c r="D4" s="110"/>
      <c r="E4" s="110"/>
      <c r="F4" s="110"/>
    </row>
    <row r="5" spans="2:6" ht="18" customHeight="1" x14ac:dyDescent="0.3">
      <c r="B5" s="2" t="s">
        <v>42</v>
      </c>
      <c r="C5" s="148" t="s">
        <v>580</v>
      </c>
      <c r="D5" s="110"/>
      <c r="E5" s="110"/>
      <c r="F5" s="110"/>
    </row>
    <row r="6" spans="2:6" ht="18" customHeight="1" x14ac:dyDescent="0.3">
      <c r="B6" s="2" t="s">
        <v>47</v>
      </c>
      <c r="C6" s="148" t="s">
        <v>581</v>
      </c>
      <c r="D6" s="110"/>
      <c r="E6" s="110"/>
      <c r="F6" s="110"/>
    </row>
    <row r="7" spans="2:6" ht="18" customHeight="1" x14ac:dyDescent="0.3">
      <c r="B7" s="2" t="s">
        <v>7</v>
      </c>
      <c r="C7" s="125" t="s">
        <v>574</v>
      </c>
      <c r="D7" s="110"/>
      <c r="E7" s="110"/>
      <c r="F7" s="110"/>
    </row>
    <row r="8" spans="2:6" ht="18" customHeight="1" x14ac:dyDescent="0.3">
      <c r="B8" s="2" t="s">
        <v>8</v>
      </c>
      <c r="C8" s="125">
        <v>13</v>
      </c>
      <c r="D8" s="110"/>
      <c r="E8" s="110"/>
      <c r="F8" s="110"/>
    </row>
    <row r="9" spans="2:6" ht="18" customHeight="1" x14ac:dyDescent="0.3">
      <c r="B9" s="2" t="s">
        <v>100</v>
      </c>
      <c r="C9" s="126">
        <v>46134</v>
      </c>
      <c r="D9" s="110"/>
      <c r="E9" s="110"/>
      <c r="F9" s="110"/>
    </row>
    <row r="10" spans="2:6" ht="18" customHeight="1" x14ac:dyDescent="0.3">
      <c r="B10" s="2" t="s">
        <v>131</v>
      </c>
      <c r="C10" s="148" t="s">
        <v>610</v>
      </c>
      <c r="D10" s="110"/>
      <c r="E10" s="110"/>
      <c r="F10" s="110"/>
    </row>
    <row r="11" spans="2:6" ht="10.15" customHeight="1" x14ac:dyDescent="0.3"/>
    <row r="12" spans="2:6" ht="16.2" customHeight="1" x14ac:dyDescent="0.3">
      <c r="B12" s="109" t="s">
        <v>132</v>
      </c>
      <c r="C12" s="110"/>
      <c r="D12" s="110"/>
      <c r="E12" s="110"/>
      <c r="F12" s="110"/>
    </row>
    <row r="13" spans="2:6" ht="19.95" customHeight="1" x14ac:dyDescent="0.3">
      <c r="B13" s="1" t="s">
        <v>133</v>
      </c>
      <c r="C13" s="1" t="s">
        <v>134</v>
      </c>
      <c r="D13" s="1" t="s">
        <v>135</v>
      </c>
      <c r="E13" s="1" t="s">
        <v>136</v>
      </c>
      <c r="F13" s="1" t="s">
        <v>137</v>
      </c>
    </row>
    <row r="14" spans="2:6" ht="28.15" customHeight="1" x14ac:dyDescent="0.3">
      <c r="B14" s="44" t="s">
        <v>138</v>
      </c>
      <c r="C14" s="159" t="s">
        <v>611</v>
      </c>
      <c r="D14" s="50" t="s">
        <v>542</v>
      </c>
      <c r="E14" s="50" t="s">
        <v>612</v>
      </c>
      <c r="F14" s="50"/>
    </row>
    <row r="15" spans="2:6" ht="28.15" customHeight="1" x14ac:dyDescent="0.3">
      <c r="B15" s="51" t="s">
        <v>140</v>
      </c>
      <c r="C15" s="149" t="s">
        <v>614</v>
      </c>
      <c r="D15" s="50" t="s">
        <v>542</v>
      </c>
      <c r="E15" s="50" t="s">
        <v>613</v>
      </c>
      <c r="F15" s="50"/>
    </row>
    <row r="16" spans="2:6" ht="28.15" customHeight="1" x14ac:dyDescent="0.3">
      <c r="B16" s="44" t="s">
        <v>142</v>
      </c>
      <c r="C16" s="159" t="s">
        <v>615</v>
      </c>
      <c r="D16" s="50" t="s">
        <v>542</v>
      </c>
      <c r="E16" s="50" t="s">
        <v>616</v>
      </c>
      <c r="F16" s="50"/>
    </row>
    <row r="17" spans="2:6" ht="28.15" customHeight="1" x14ac:dyDescent="0.3">
      <c r="B17" s="51" t="s">
        <v>144</v>
      </c>
      <c r="C17" s="149" t="s">
        <v>617</v>
      </c>
      <c r="D17" s="50" t="s">
        <v>542</v>
      </c>
      <c r="E17" s="50" t="s">
        <v>618</v>
      </c>
      <c r="F17" s="50"/>
    </row>
    <row r="18" spans="2:6" ht="28.15" customHeight="1" x14ac:dyDescent="0.3">
      <c r="B18" s="44" t="s">
        <v>146</v>
      </c>
      <c r="C18" s="159" t="s">
        <v>619</v>
      </c>
      <c r="D18" s="50" t="s">
        <v>542</v>
      </c>
      <c r="E18" s="50" t="s">
        <v>620</v>
      </c>
      <c r="F18" s="50"/>
    </row>
    <row r="19" spans="2:6" ht="23.95" customHeight="1" x14ac:dyDescent="0.3">
      <c r="B19" s="124" t="s">
        <v>148</v>
      </c>
      <c r="C19" s="110"/>
      <c r="D19" s="110"/>
      <c r="E19" s="52">
        <v>5</v>
      </c>
      <c r="F19" s="50" t="s">
        <v>632</v>
      </c>
    </row>
    <row r="20" spans="2:6" ht="10.15" customHeight="1" x14ac:dyDescent="0.3"/>
    <row r="21" spans="2:6" ht="16.2" customHeight="1" x14ac:dyDescent="0.3">
      <c r="B21" s="109" t="s">
        <v>150</v>
      </c>
      <c r="C21" s="110"/>
      <c r="D21" s="110"/>
      <c r="E21" s="110"/>
      <c r="F21" s="110"/>
    </row>
    <row r="22" spans="2:6" ht="19.95" customHeight="1" x14ac:dyDescent="0.3">
      <c r="B22" s="1" t="s">
        <v>151</v>
      </c>
      <c r="C22" s="1" t="s">
        <v>152</v>
      </c>
      <c r="D22" s="1" t="s">
        <v>153</v>
      </c>
      <c r="E22" s="1" t="s">
        <v>154</v>
      </c>
      <c r="F22" s="1" t="s">
        <v>136</v>
      </c>
    </row>
    <row r="23" spans="2:6" ht="23.95" customHeight="1" x14ac:dyDescent="0.3">
      <c r="B23" s="44" t="s">
        <v>155</v>
      </c>
      <c r="C23" s="49" t="s">
        <v>156</v>
      </c>
      <c r="D23" s="160" t="s">
        <v>621</v>
      </c>
      <c r="E23" s="49" t="s">
        <v>157</v>
      </c>
      <c r="F23" s="160" t="s">
        <v>622</v>
      </c>
    </row>
    <row r="24" spans="2:6" ht="23.95" customHeight="1" x14ac:dyDescent="0.3">
      <c r="B24" s="51" t="s">
        <v>158</v>
      </c>
      <c r="C24" s="19" t="s">
        <v>159</v>
      </c>
      <c r="D24" s="160" t="s">
        <v>624</v>
      </c>
      <c r="E24" s="19" t="s">
        <v>160</v>
      </c>
      <c r="F24" s="160" t="s">
        <v>623</v>
      </c>
    </row>
    <row r="25" spans="2:6" ht="23.95" customHeight="1" x14ac:dyDescent="0.3">
      <c r="B25" s="44" t="s">
        <v>161</v>
      </c>
      <c r="C25" s="49" t="s">
        <v>162</v>
      </c>
      <c r="D25" s="160" t="s">
        <v>625</v>
      </c>
      <c r="E25" s="49" t="s">
        <v>163</v>
      </c>
      <c r="F25" s="160" t="s">
        <v>626</v>
      </c>
    </row>
    <row r="26" spans="2:6" ht="23.95" customHeight="1" x14ac:dyDescent="0.3">
      <c r="B26" s="51" t="s">
        <v>164</v>
      </c>
      <c r="C26" s="19" t="s">
        <v>165</v>
      </c>
      <c r="D26" s="108">
        <v>0.04</v>
      </c>
      <c r="E26" s="19" t="s">
        <v>166</v>
      </c>
      <c r="F26" s="160" t="s">
        <v>627</v>
      </c>
    </row>
    <row r="27" spans="2:6" ht="23.95" customHeight="1" x14ac:dyDescent="0.3">
      <c r="B27" s="44" t="s">
        <v>167</v>
      </c>
      <c r="C27" s="49" t="s">
        <v>168</v>
      </c>
      <c r="D27" s="160" t="s">
        <v>628</v>
      </c>
      <c r="E27" s="49" t="s">
        <v>169</v>
      </c>
      <c r="F27" s="160" t="s">
        <v>629</v>
      </c>
    </row>
    <row r="28" spans="2:6" ht="23.95" customHeight="1" x14ac:dyDescent="0.3">
      <c r="B28" s="51" t="s">
        <v>170</v>
      </c>
      <c r="C28" s="19" t="s">
        <v>171</v>
      </c>
      <c r="D28" s="160" t="s">
        <v>630</v>
      </c>
      <c r="E28" s="19" t="s">
        <v>172</v>
      </c>
      <c r="F28" s="160" t="s">
        <v>631</v>
      </c>
    </row>
    <row r="29" spans="2:6" ht="23.95" customHeight="1" x14ac:dyDescent="0.3">
      <c r="B29" s="124" t="s">
        <v>173</v>
      </c>
      <c r="C29" s="110"/>
      <c r="D29" s="110"/>
      <c r="E29" s="52">
        <v>4</v>
      </c>
      <c r="F29" s="50" t="s">
        <v>633</v>
      </c>
    </row>
    <row r="30" spans="2:6" ht="10.15" customHeight="1" x14ac:dyDescent="0.3"/>
    <row r="31" spans="2:6" ht="16.2" customHeight="1" x14ac:dyDescent="0.3">
      <c r="B31" s="109" t="s">
        <v>174</v>
      </c>
      <c r="C31" s="110"/>
      <c r="D31" s="110"/>
      <c r="E31" s="110"/>
      <c r="F31" s="110"/>
    </row>
    <row r="32" spans="2:6" ht="19.95" customHeight="1" x14ac:dyDescent="0.3">
      <c r="B32" s="1" t="s">
        <v>175</v>
      </c>
      <c r="C32" s="1" t="s">
        <v>176</v>
      </c>
      <c r="D32" s="1" t="s">
        <v>177</v>
      </c>
      <c r="E32" s="1" t="s">
        <v>178</v>
      </c>
      <c r="F32" s="1" t="s">
        <v>136</v>
      </c>
    </row>
    <row r="33" spans="2:6" ht="23.95" customHeight="1" x14ac:dyDescent="0.3">
      <c r="B33" s="44" t="s">
        <v>179</v>
      </c>
      <c r="C33" s="159" t="s">
        <v>634</v>
      </c>
      <c r="D33" s="25" t="s">
        <v>558</v>
      </c>
      <c r="E33" s="25"/>
      <c r="F33" s="160" t="s">
        <v>635</v>
      </c>
    </row>
    <row r="34" spans="2:6" ht="23.95" customHeight="1" x14ac:dyDescent="0.3">
      <c r="B34" s="51" t="s">
        <v>181</v>
      </c>
      <c r="C34" s="149" t="s">
        <v>182</v>
      </c>
      <c r="D34" s="25" t="s">
        <v>558</v>
      </c>
      <c r="E34" s="25"/>
      <c r="F34" s="160" t="s">
        <v>636</v>
      </c>
    </row>
    <row r="35" spans="2:6" ht="23.95" customHeight="1" x14ac:dyDescent="0.3">
      <c r="B35" s="44" t="s">
        <v>183</v>
      </c>
      <c r="C35" s="49" t="s">
        <v>184</v>
      </c>
      <c r="D35" s="25" t="s">
        <v>558</v>
      </c>
      <c r="E35" s="25"/>
      <c r="F35" s="160" t="s">
        <v>637</v>
      </c>
    </row>
    <row r="36" spans="2:6" ht="23.95" customHeight="1" x14ac:dyDescent="0.3">
      <c r="B36" s="51" t="s">
        <v>185</v>
      </c>
      <c r="C36" s="19" t="s">
        <v>186</v>
      </c>
      <c r="D36" s="25" t="s">
        <v>558</v>
      </c>
      <c r="E36" s="25"/>
      <c r="F36" s="160" t="s">
        <v>638</v>
      </c>
    </row>
    <row r="37" spans="2:6" ht="23.95" customHeight="1" x14ac:dyDescent="0.3">
      <c r="B37" s="44" t="s">
        <v>187</v>
      </c>
      <c r="C37" s="49" t="s">
        <v>188</v>
      </c>
      <c r="D37" s="25" t="s">
        <v>558</v>
      </c>
      <c r="E37" s="25"/>
      <c r="F37" s="160" t="s">
        <v>639</v>
      </c>
    </row>
    <row r="38" spans="2:6" ht="23.95" customHeight="1" x14ac:dyDescent="0.3">
      <c r="B38" s="51" t="s">
        <v>189</v>
      </c>
      <c r="C38" s="19" t="s">
        <v>190</v>
      </c>
      <c r="D38" s="25" t="s">
        <v>558</v>
      </c>
      <c r="E38" s="25"/>
      <c r="F38" s="160" t="s">
        <v>640</v>
      </c>
    </row>
    <row r="39" spans="2:6" ht="23.95" customHeight="1" x14ac:dyDescent="0.3">
      <c r="B39" s="44" t="s">
        <v>191</v>
      </c>
      <c r="C39" s="49" t="s">
        <v>192</v>
      </c>
      <c r="D39" s="25" t="s">
        <v>558</v>
      </c>
      <c r="E39" s="25"/>
      <c r="F39" s="160" t="s">
        <v>641</v>
      </c>
    </row>
    <row r="40" spans="2:6" ht="23.95" customHeight="1" x14ac:dyDescent="0.3">
      <c r="B40" s="124" t="s">
        <v>193</v>
      </c>
      <c r="C40" s="110"/>
      <c r="D40" s="110"/>
      <c r="E40" s="52">
        <v>5</v>
      </c>
      <c r="F40" s="50" t="s">
        <v>642</v>
      </c>
    </row>
    <row r="41" spans="2:6" ht="10.15" customHeight="1" x14ac:dyDescent="0.3"/>
    <row r="42" spans="2:6" ht="16.2" customHeight="1" x14ac:dyDescent="0.3">
      <c r="B42" s="109" t="s">
        <v>194</v>
      </c>
      <c r="C42" s="110"/>
      <c r="D42" s="110"/>
      <c r="E42" s="110"/>
      <c r="F42" s="110"/>
    </row>
    <row r="43" spans="2:6" ht="19.95" customHeight="1" x14ac:dyDescent="0.3">
      <c r="B43" s="1" t="s">
        <v>54</v>
      </c>
      <c r="C43" s="1" t="s">
        <v>195</v>
      </c>
      <c r="D43" s="1" t="s">
        <v>196</v>
      </c>
      <c r="E43" s="1" t="s">
        <v>197</v>
      </c>
      <c r="F43" s="1" t="s">
        <v>198</v>
      </c>
    </row>
    <row r="44" spans="2:6" ht="23.95" customHeight="1" x14ac:dyDescent="0.3">
      <c r="B44" s="44" t="s">
        <v>199</v>
      </c>
      <c r="C44" s="49" t="s">
        <v>200</v>
      </c>
      <c r="D44" s="25" t="s">
        <v>644</v>
      </c>
      <c r="E44" s="25"/>
      <c r="F44" s="25" t="s">
        <v>566</v>
      </c>
    </row>
    <row r="45" spans="2:6" ht="23.95" customHeight="1" x14ac:dyDescent="0.3">
      <c r="B45" s="51" t="s">
        <v>201</v>
      </c>
      <c r="C45" s="19" t="s">
        <v>202</v>
      </c>
      <c r="D45" s="25" t="s">
        <v>645</v>
      </c>
      <c r="E45" s="25"/>
      <c r="F45" s="25" t="s">
        <v>566</v>
      </c>
    </row>
    <row r="46" spans="2:6" ht="23.95" customHeight="1" x14ac:dyDescent="0.3">
      <c r="B46" s="44" t="s">
        <v>203</v>
      </c>
      <c r="C46" s="49" t="s">
        <v>204</v>
      </c>
      <c r="D46" s="25" t="s">
        <v>646</v>
      </c>
      <c r="E46" s="25"/>
      <c r="F46" s="25" t="s">
        <v>566</v>
      </c>
    </row>
    <row r="47" spans="2:6" ht="23.95" customHeight="1" x14ac:dyDescent="0.3">
      <c r="B47" s="51" t="s">
        <v>205</v>
      </c>
      <c r="C47" s="19" t="s">
        <v>206</v>
      </c>
      <c r="D47" s="25">
        <v>19</v>
      </c>
      <c r="E47" s="25"/>
      <c r="F47" s="25" t="s">
        <v>566</v>
      </c>
    </row>
    <row r="48" spans="2:6" ht="23.95" customHeight="1" x14ac:dyDescent="0.3">
      <c r="B48" s="44" t="s">
        <v>207</v>
      </c>
      <c r="C48" s="49" t="s">
        <v>208</v>
      </c>
      <c r="D48" s="25">
        <v>12</v>
      </c>
      <c r="E48" s="25"/>
      <c r="F48" s="25" t="s">
        <v>566</v>
      </c>
    </row>
    <row r="49" spans="2:6" ht="16.2" customHeight="1" x14ac:dyDescent="0.3">
      <c r="B49" s="109" t="s">
        <v>209</v>
      </c>
      <c r="C49" s="110"/>
      <c r="D49" s="110"/>
      <c r="E49" s="110"/>
      <c r="F49" s="110"/>
    </row>
    <row r="50" spans="2:6" ht="18" customHeight="1" x14ac:dyDescent="0.3">
      <c r="B50" s="17" t="s">
        <v>210</v>
      </c>
      <c r="C50" s="17" t="s">
        <v>211</v>
      </c>
      <c r="D50" s="17" t="s">
        <v>121</v>
      </c>
      <c r="E50" s="17" t="s">
        <v>212</v>
      </c>
      <c r="F50" s="17" t="s">
        <v>213</v>
      </c>
    </row>
    <row r="51" spans="2:6" ht="22.15" customHeight="1" x14ac:dyDescent="0.3">
      <c r="B51" s="44" t="s">
        <v>214</v>
      </c>
      <c r="C51" s="49" t="s">
        <v>215</v>
      </c>
      <c r="D51" s="25" t="s">
        <v>647</v>
      </c>
      <c r="E51" s="25" t="s">
        <v>572</v>
      </c>
      <c r="F51" s="25">
        <v>4</v>
      </c>
    </row>
    <row r="52" spans="2:6" ht="22.15" customHeight="1" x14ac:dyDescent="0.3">
      <c r="B52" s="51" t="s">
        <v>216</v>
      </c>
      <c r="C52" s="19" t="s">
        <v>217</v>
      </c>
      <c r="D52" s="25" t="s">
        <v>648</v>
      </c>
      <c r="E52" s="25" t="s">
        <v>571</v>
      </c>
      <c r="F52" s="25">
        <v>5</v>
      </c>
    </row>
    <row r="53" spans="2:6" ht="22.15" customHeight="1" x14ac:dyDescent="0.3">
      <c r="B53" s="44" t="s">
        <v>218</v>
      </c>
      <c r="C53" s="49" t="s">
        <v>219</v>
      </c>
      <c r="D53" s="25" t="s">
        <v>649</v>
      </c>
      <c r="E53" s="25" t="s">
        <v>651</v>
      </c>
      <c r="F53" s="25">
        <v>2</v>
      </c>
    </row>
    <row r="54" spans="2:6" ht="22.15" customHeight="1" x14ac:dyDescent="0.3">
      <c r="B54" s="51" t="s">
        <v>220</v>
      </c>
      <c r="C54" s="19" t="s">
        <v>221</v>
      </c>
      <c r="D54" s="25" t="s">
        <v>650</v>
      </c>
      <c r="E54" s="25" t="s">
        <v>571</v>
      </c>
      <c r="F54" s="25">
        <v>5</v>
      </c>
    </row>
    <row r="55" spans="2:6" ht="23.95" customHeight="1" x14ac:dyDescent="0.3">
      <c r="B55" s="124" t="s">
        <v>222</v>
      </c>
      <c r="C55" s="110"/>
      <c r="D55" s="110"/>
      <c r="E55" s="52">
        <v>4</v>
      </c>
      <c r="F55" s="50" t="s">
        <v>149</v>
      </c>
    </row>
  </sheetData>
  <mergeCells count="18">
    <mergeCell ref="B29:D29"/>
    <mergeCell ref="B31:F31"/>
    <mergeCell ref="B40:D40"/>
    <mergeCell ref="B42:F42"/>
    <mergeCell ref="B49:F49"/>
    <mergeCell ref="B55:D55"/>
    <mergeCell ref="C8:F8"/>
    <mergeCell ref="C9:F9"/>
    <mergeCell ref="C10:F10"/>
    <mergeCell ref="B12:F12"/>
    <mergeCell ref="B19:D19"/>
    <mergeCell ref="B21:F21"/>
    <mergeCell ref="B1:F1"/>
    <mergeCell ref="B2:F2"/>
    <mergeCell ref="B4:F4"/>
    <mergeCell ref="C5:F5"/>
    <mergeCell ref="C6:F6"/>
    <mergeCell ref="C7:F7"/>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29"/>
  <sheetViews>
    <sheetView showGridLines="0" topLeftCell="B27" zoomScale="102" workbookViewId="0">
      <selection activeCell="C16" sqref="C16"/>
    </sheetView>
  </sheetViews>
  <sheetFormatPr defaultRowHeight="14.4" x14ac:dyDescent="0.3"/>
  <cols>
    <col min="1" max="1" width="3" customWidth="1"/>
    <col min="2" max="2" width="25" customWidth="1"/>
    <col min="3" max="4" width="8" customWidth="1"/>
    <col min="5" max="5" width="44" customWidth="1"/>
    <col min="6" max="6" width="10" customWidth="1"/>
    <col min="7" max="7" width="5" customWidth="1"/>
  </cols>
  <sheetData>
    <row r="1" spans="2:6" ht="31.85" customHeight="1" x14ac:dyDescent="0.3">
      <c r="B1" s="116" t="s">
        <v>260</v>
      </c>
      <c r="C1" s="110"/>
      <c r="D1" s="110"/>
      <c r="E1" s="110"/>
      <c r="F1" s="110"/>
    </row>
    <row r="2" spans="2:6" ht="18" customHeight="1" x14ac:dyDescent="0.3">
      <c r="B2" s="129" t="s">
        <v>224</v>
      </c>
      <c r="C2" s="110"/>
      <c r="D2" s="110"/>
      <c r="E2" s="110"/>
      <c r="F2" s="110"/>
    </row>
    <row r="3" spans="2:6" ht="7.9" customHeight="1" x14ac:dyDescent="0.3"/>
    <row r="4" spans="2:6" ht="16.2" customHeight="1" x14ac:dyDescent="0.3">
      <c r="B4" s="109" t="s">
        <v>225</v>
      </c>
      <c r="C4" s="110"/>
      <c r="D4" s="110"/>
      <c r="E4" s="110"/>
      <c r="F4" s="110"/>
    </row>
    <row r="5" spans="2:6" ht="18" customHeight="1" x14ac:dyDescent="0.3">
      <c r="B5" s="2" t="s">
        <v>46</v>
      </c>
      <c r="C5" s="148" t="s">
        <v>580</v>
      </c>
      <c r="D5" s="110"/>
      <c r="E5" s="110"/>
      <c r="F5" s="110"/>
    </row>
    <row r="6" spans="2:6" ht="18" customHeight="1" x14ac:dyDescent="0.3">
      <c r="B6" s="2" t="s">
        <v>226</v>
      </c>
      <c r="C6" s="125" t="s">
        <v>581</v>
      </c>
      <c r="D6" s="110"/>
      <c r="E6" s="110"/>
      <c r="F6" s="110"/>
    </row>
    <row r="7" spans="2:6" ht="18" customHeight="1" x14ac:dyDescent="0.3">
      <c r="B7" s="2" t="s">
        <v>97</v>
      </c>
      <c r="C7" s="125" t="s">
        <v>525</v>
      </c>
      <c r="D7" s="110"/>
      <c r="E7" s="110"/>
      <c r="F7" s="110"/>
    </row>
    <row r="8" spans="2:6" ht="18" customHeight="1" x14ac:dyDescent="0.3">
      <c r="B8" s="2" t="s">
        <v>8</v>
      </c>
      <c r="C8" s="125" t="s">
        <v>99</v>
      </c>
      <c r="D8" s="110"/>
      <c r="E8" s="110"/>
      <c r="F8" s="110"/>
    </row>
    <row r="9" spans="2:6" ht="18" customHeight="1" x14ac:dyDescent="0.3">
      <c r="B9" s="2" t="s">
        <v>227</v>
      </c>
      <c r="C9" s="125" t="s">
        <v>652</v>
      </c>
      <c r="D9" s="110"/>
      <c r="E9" s="110"/>
      <c r="F9" s="110"/>
    </row>
    <row r="10" spans="2:6" ht="7.9" customHeight="1" x14ac:dyDescent="0.3"/>
    <row r="11" spans="2:6" ht="16.2" customHeight="1" x14ac:dyDescent="0.3">
      <c r="B11" s="109" t="s">
        <v>228</v>
      </c>
      <c r="C11" s="110"/>
      <c r="D11" s="110"/>
      <c r="E11" s="110"/>
      <c r="F11" s="110"/>
    </row>
    <row r="12" spans="2:6" ht="30.05" customHeight="1" x14ac:dyDescent="0.3">
      <c r="B12" s="18" t="s">
        <v>229</v>
      </c>
      <c r="C12" s="18" t="s">
        <v>230</v>
      </c>
      <c r="D12" s="18" t="s">
        <v>105</v>
      </c>
      <c r="E12" s="18" t="s">
        <v>231</v>
      </c>
      <c r="F12" s="18" t="s">
        <v>232</v>
      </c>
    </row>
    <row r="13" spans="2:6" ht="70.2" customHeight="1" x14ac:dyDescent="0.3">
      <c r="B13" s="53" t="s">
        <v>108</v>
      </c>
      <c r="C13" s="54">
        <v>5</v>
      </c>
      <c r="D13" s="46" t="s">
        <v>109</v>
      </c>
      <c r="E13" s="55" t="s">
        <v>653</v>
      </c>
      <c r="F13" s="47">
        <f>C13*0.15</f>
        <v>0.75</v>
      </c>
    </row>
    <row r="14" spans="2:6" ht="70.2" customHeight="1" x14ac:dyDescent="0.3">
      <c r="B14" s="56" t="s">
        <v>110</v>
      </c>
      <c r="C14" s="54">
        <v>4</v>
      </c>
      <c r="D14" s="57" t="s">
        <v>111</v>
      </c>
      <c r="E14" s="55" t="s">
        <v>654</v>
      </c>
      <c r="F14" s="58">
        <f>C14*0.12</f>
        <v>0.48</v>
      </c>
    </row>
    <row r="15" spans="2:6" ht="70.2" customHeight="1" x14ac:dyDescent="0.3">
      <c r="B15" s="53" t="s">
        <v>112</v>
      </c>
      <c r="C15" s="54">
        <v>4</v>
      </c>
      <c r="D15" s="46" t="s">
        <v>113</v>
      </c>
      <c r="E15" s="55" t="s">
        <v>655</v>
      </c>
      <c r="F15" s="47">
        <f>C15*0.1</f>
        <v>0.4</v>
      </c>
    </row>
    <row r="16" spans="2:6" ht="70.2" customHeight="1" x14ac:dyDescent="0.3">
      <c r="B16" s="56" t="s">
        <v>114</v>
      </c>
      <c r="C16" s="54">
        <v>4</v>
      </c>
      <c r="D16" s="57" t="s">
        <v>109</v>
      </c>
      <c r="E16" s="55" t="s">
        <v>656</v>
      </c>
      <c r="F16" s="58">
        <f>C16*0.15</f>
        <v>0.6</v>
      </c>
    </row>
    <row r="17" spans="2:6" ht="70.2" customHeight="1" x14ac:dyDescent="0.3">
      <c r="B17" s="53" t="s">
        <v>115</v>
      </c>
      <c r="C17" s="54">
        <v>4</v>
      </c>
      <c r="D17" s="46" t="s">
        <v>109</v>
      </c>
      <c r="E17" s="55" t="s">
        <v>657</v>
      </c>
      <c r="F17" s="47">
        <f>C17*0.15</f>
        <v>0.6</v>
      </c>
    </row>
    <row r="18" spans="2:6" ht="70.2" customHeight="1" x14ac:dyDescent="0.3">
      <c r="B18" s="56" t="s">
        <v>116</v>
      </c>
      <c r="C18" s="54">
        <v>5</v>
      </c>
      <c r="D18" s="57" t="s">
        <v>109</v>
      </c>
      <c r="E18" s="55" t="s">
        <v>658</v>
      </c>
      <c r="F18" s="58">
        <f>C18*0.15</f>
        <v>0.75</v>
      </c>
    </row>
    <row r="19" spans="2:6" ht="70.2" customHeight="1" x14ac:dyDescent="0.3">
      <c r="B19" s="53" t="s">
        <v>117</v>
      </c>
      <c r="C19" s="54">
        <v>4</v>
      </c>
      <c r="D19" s="46" t="s">
        <v>118</v>
      </c>
      <c r="E19" s="55" t="s">
        <v>659</v>
      </c>
      <c r="F19" s="47">
        <f>C19*0.08</f>
        <v>0.32</v>
      </c>
    </row>
    <row r="20" spans="2:6" ht="70.2" customHeight="1" x14ac:dyDescent="0.3">
      <c r="B20" s="56" t="s">
        <v>119</v>
      </c>
      <c r="C20" s="54">
        <v>5</v>
      </c>
      <c r="D20" s="57" t="s">
        <v>113</v>
      </c>
      <c r="E20" s="55" t="s">
        <v>660</v>
      </c>
      <c r="F20" s="58">
        <f>C20*0.1</f>
        <v>0.5</v>
      </c>
    </row>
    <row r="21" spans="2:6" ht="25.9" customHeight="1" x14ac:dyDescent="0.3">
      <c r="B21" s="115" t="s">
        <v>241</v>
      </c>
      <c r="C21" s="110"/>
      <c r="D21" s="110"/>
      <c r="E21" s="110"/>
      <c r="F21" s="48">
        <f>SUM(F13:F20)</f>
        <v>4.4000000000000004</v>
      </c>
    </row>
    <row r="22" spans="2:6" ht="10.15" customHeight="1" x14ac:dyDescent="0.3"/>
    <row r="23" spans="2:6" ht="16.2" customHeight="1" x14ac:dyDescent="0.3">
      <c r="B23" s="109" t="s">
        <v>242</v>
      </c>
      <c r="C23" s="110"/>
      <c r="D23" s="110"/>
      <c r="E23" s="110"/>
      <c r="F23" s="110"/>
    </row>
    <row r="24" spans="2:6" ht="18" customHeight="1" x14ac:dyDescent="0.3">
      <c r="B24" s="119" t="s">
        <v>243</v>
      </c>
      <c r="C24" s="17" t="s">
        <v>244</v>
      </c>
      <c r="D24" s="119"/>
      <c r="E24" s="120"/>
      <c r="F24" s="17"/>
    </row>
    <row r="25" spans="2:6" ht="23.95" customHeight="1" x14ac:dyDescent="0.3">
      <c r="B25" s="59" t="s">
        <v>245</v>
      </c>
      <c r="C25" s="128" t="s">
        <v>246</v>
      </c>
      <c r="D25" s="110"/>
      <c r="E25" s="162" t="s">
        <v>661</v>
      </c>
      <c r="F25" s="61" t="s">
        <v>662</v>
      </c>
    </row>
    <row r="26" spans="2:6" ht="23.95" customHeight="1" x14ac:dyDescent="0.3">
      <c r="B26" s="62" t="s">
        <v>248</v>
      </c>
      <c r="C26" s="117" t="s">
        <v>249</v>
      </c>
      <c r="D26" s="110"/>
      <c r="E26" s="60" t="s">
        <v>661</v>
      </c>
      <c r="F26" s="61" t="s">
        <v>663</v>
      </c>
    </row>
    <row r="27" spans="2:6" ht="23.95" customHeight="1" x14ac:dyDescent="0.3">
      <c r="B27" s="59" t="s">
        <v>251</v>
      </c>
      <c r="C27" s="128" t="s">
        <v>252</v>
      </c>
      <c r="D27" s="110"/>
      <c r="E27" s="60" t="s">
        <v>661</v>
      </c>
      <c r="F27" s="61" t="s">
        <v>664</v>
      </c>
    </row>
    <row r="28" spans="2:6" ht="23.95" customHeight="1" x14ac:dyDescent="0.3">
      <c r="B28" s="62" t="s">
        <v>254</v>
      </c>
      <c r="C28" s="117" t="s">
        <v>255</v>
      </c>
      <c r="D28" s="110"/>
      <c r="E28" s="60" t="s">
        <v>661</v>
      </c>
      <c r="F28" s="61" t="s">
        <v>665</v>
      </c>
    </row>
    <row r="29" spans="2:6" ht="23.95" customHeight="1" x14ac:dyDescent="0.3">
      <c r="B29" s="59" t="s">
        <v>257</v>
      </c>
      <c r="C29" s="128" t="s">
        <v>258</v>
      </c>
      <c r="D29" s="110"/>
      <c r="E29" s="60" t="s">
        <v>661</v>
      </c>
      <c r="F29" s="61" t="s">
        <v>666</v>
      </c>
    </row>
  </sheetData>
  <mergeCells count="18">
    <mergeCell ref="B1:F1"/>
    <mergeCell ref="C5:F5"/>
    <mergeCell ref="C26:D26"/>
    <mergeCell ref="B4:F4"/>
    <mergeCell ref="C9:F9"/>
    <mergeCell ref="C29:D29"/>
    <mergeCell ref="D24:E24"/>
    <mergeCell ref="B2:F2"/>
    <mergeCell ref="C8:F8"/>
    <mergeCell ref="C25:D25"/>
    <mergeCell ref="B11:F11"/>
    <mergeCell ref="C27:D27"/>
    <mergeCell ref="B21:E21"/>
    <mergeCell ref="C6:F6"/>
    <mergeCell ref="C7:F7"/>
    <mergeCell ref="B24"/>
    <mergeCell ref="C28:D28"/>
    <mergeCell ref="B23:F23"/>
  </mergeCells>
  <pageMargins left="0.75" right="0.75" top="1" bottom="1" header="0.5" footer="0.5"/>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G65"/>
  <sheetViews>
    <sheetView showGridLines="0" workbookViewId="0">
      <selection activeCell="K17" sqref="K17"/>
    </sheetView>
  </sheetViews>
  <sheetFormatPr defaultRowHeight="14.4" x14ac:dyDescent="0.3"/>
  <cols>
    <col min="1" max="1" width="3" customWidth="1"/>
    <col min="2" max="2" width="26" customWidth="1"/>
    <col min="3" max="6" width="10" customWidth="1"/>
    <col min="7" max="7" width="22" customWidth="1"/>
    <col min="8" max="8" width="5" customWidth="1"/>
  </cols>
  <sheetData>
    <row r="1" spans="2:7" ht="31.85" customHeight="1" x14ac:dyDescent="0.3">
      <c r="B1" s="116" t="s">
        <v>261</v>
      </c>
      <c r="C1" s="110"/>
      <c r="D1" s="110"/>
      <c r="E1" s="110"/>
      <c r="F1" s="110"/>
      <c r="G1" s="110"/>
    </row>
    <row r="2" spans="2:7" ht="18" customHeight="1" x14ac:dyDescent="0.3">
      <c r="B2" s="129" t="s">
        <v>262</v>
      </c>
      <c r="C2" s="110"/>
      <c r="D2" s="110"/>
      <c r="E2" s="110"/>
      <c r="F2" s="110"/>
      <c r="G2" s="110"/>
    </row>
    <row r="3" spans="2:7" ht="7.9" customHeight="1" x14ac:dyDescent="0.3"/>
    <row r="4" spans="2:7" ht="16.2" customHeight="1" x14ac:dyDescent="0.3">
      <c r="B4" s="109" t="s">
        <v>263</v>
      </c>
      <c r="C4" s="110"/>
      <c r="D4" s="110"/>
      <c r="E4" s="110"/>
      <c r="F4" s="110"/>
      <c r="G4" s="110"/>
    </row>
    <row r="5" spans="2:7" ht="16.2" customHeight="1" x14ac:dyDescent="0.3">
      <c r="B5" s="152" t="s">
        <v>264</v>
      </c>
      <c r="C5" s="2" t="s">
        <v>42</v>
      </c>
      <c r="D5" s="2"/>
      <c r="E5" s="2" t="s">
        <v>43</v>
      </c>
      <c r="F5" s="2"/>
      <c r="G5" s="152" t="s">
        <v>264</v>
      </c>
    </row>
    <row r="6" spans="2:7" ht="22.15" customHeight="1" x14ac:dyDescent="0.3">
      <c r="B6" s="63" t="s">
        <v>667</v>
      </c>
      <c r="C6" s="63" t="s">
        <v>25</v>
      </c>
      <c r="D6" s="63"/>
      <c r="E6" s="161" t="s">
        <v>580</v>
      </c>
      <c r="F6" s="63"/>
      <c r="G6" s="161" t="s">
        <v>643</v>
      </c>
    </row>
    <row r="7" spans="2:7" ht="7.9" customHeight="1" x14ac:dyDescent="0.3"/>
    <row r="8" spans="2:7" ht="16.2" customHeight="1" x14ac:dyDescent="0.3">
      <c r="B8" s="109" t="s">
        <v>265</v>
      </c>
      <c r="C8" s="110"/>
      <c r="D8" s="110"/>
      <c r="E8" s="110"/>
      <c r="F8" s="110"/>
      <c r="G8" s="110"/>
    </row>
    <row r="9" spans="2:7" ht="30.05" customHeight="1" x14ac:dyDescent="0.3">
      <c r="B9" s="18" t="s">
        <v>104</v>
      </c>
      <c r="C9" s="18" t="s">
        <v>105</v>
      </c>
      <c r="D9" s="18" t="s">
        <v>266</v>
      </c>
      <c r="E9" s="18" t="s">
        <v>267</v>
      </c>
      <c r="F9" s="18" t="s">
        <v>268</v>
      </c>
      <c r="G9" s="18" t="s">
        <v>269</v>
      </c>
    </row>
    <row r="10" spans="2:7" ht="22.15" customHeight="1" x14ac:dyDescent="0.3">
      <c r="B10" s="44" t="s">
        <v>108</v>
      </c>
      <c r="C10" s="46" t="s">
        <v>109</v>
      </c>
      <c r="D10" s="64">
        <v>5</v>
      </c>
      <c r="E10" s="64">
        <v>5</v>
      </c>
      <c r="F10" s="65">
        <f t="shared" ref="F10:F17" si="0">ABS(D10-E10)</f>
        <v>0</v>
      </c>
      <c r="G10" s="46" t="str">
        <f t="shared" ref="G10:G17" si="1">IF(D10&gt;E10,"App 1",IF(E10&gt;D10,"App 2","Tied"))</f>
        <v>Tied</v>
      </c>
    </row>
    <row r="11" spans="2:7" ht="22.15" customHeight="1" x14ac:dyDescent="0.3">
      <c r="B11" s="51" t="s">
        <v>110</v>
      </c>
      <c r="C11" s="57" t="s">
        <v>111</v>
      </c>
      <c r="D11" s="64">
        <v>4</v>
      </c>
      <c r="E11" s="64">
        <v>4</v>
      </c>
      <c r="F11" s="66">
        <f t="shared" si="0"/>
        <v>0</v>
      </c>
      <c r="G11" s="57" t="str">
        <f t="shared" si="1"/>
        <v>Tied</v>
      </c>
    </row>
    <row r="12" spans="2:7" ht="22.15" customHeight="1" x14ac:dyDescent="0.3">
      <c r="B12" s="44" t="s">
        <v>112</v>
      </c>
      <c r="C12" s="46" t="s">
        <v>113</v>
      </c>
      <c r="D12" s="64">
        <v>5</v>
      </c>
      <c r="E12" s="64">
        <v>4</v>
      </c>
      <c r="F12" s="65">
        <f t="shared" si="0"/>
        <v>1</v>
      </c>
      <c r="G12" s="46" t="str">
        <f t="shared" si="1"/>
        <v>App 1</v>
      </c>
    </row>
    <row r="13" spans="2:7" ht="22.15" customHeight="1" x14ac:dyDescent="0.3">
      <c r="B13" s="51" t="s">
        <v>114</v>
      </c>
      <c r="C13" s="57" t="s">
        <v>109</v>
      </c>
      <c r="D13" s="64">
        <v>4</v>
      </c>
      <c r="E13" s="64">
        <v>4</v>
      </c>
      <c r="F13" s="66">
        <f t="shared" si="0"/>
        <v>0</v>
      </c>
      <c r="G13" s="57" t="str">
        <f t="shared" si="1"/>
        <v>Tied</v>
      </c>
    </row>
    <row r="14" spans="2:7" ht="22.15" customHeight="1" x14ac:dyDescent="0.3">
      <c r="B14" s="44" t="s">
        <v>115</v>
      </c>
      <c r="C14" s="46" t="s">
        <v>109</v>
      </c>
      <c r="D14" s="64">
        <v>4</v>
      </c>
      <c r="E14" s="64">
        <v>4</v>
      </c>
      <c r="F14" s="65">
        <f t="shared" si="0"/>
        <v>0</v>
      </c>
      <c r="G14" s="46" t="str">
        <f t="shared" si="1"/>
        <v>Tied</v>
      </c>
    </row>
    <row r="15" spans="2:7" ht="22.15" customHeight="1" x14ac:dyDescent="0.3">
      <c r="B15" s="51" t="s">
        <v>116</v>
      </c>
      <c r="C15" s="57" t="s">
        <v>109</v>
      </c>
      <c r="D15" s="64">
        <v>5</v>
      </c>
      <c r="E15" s="64">
        <v>5</v>
      </c>
      <c r="F15" s="66">
        <f t="shared" si="0"/>
        <v>0</v>
      </c>
      <c r="G15" s="57" t="str">
        <f t="shared" si="1"/>
        <v>Tied</v>
      </c>
    </row>
    <row r="16" spans="2:7" ht="22.15" customHeight="1" x14ac:dyDescent="0.3">
      <c r="B16" s="44" t="s">
        <v>117</v>
      </c>
      <c r="C16" s="46" t="s">
        <v>118</v>
      </c>
      <c r="D16" s="64">
        <v>4</v>
      </c>
      <c r="E16" s="64">
        <v>4</v>
      </c>
      <c r="F16" s="65">
        <f t="shared" si="0"/>
        <v>0</v>
      </c>
      <c r="G16" s="46" t="str">
        <f t="shared" si="1"/>
        <v>Tied</v>
      </c>
    </row>
    <row r="17" spans="2:7" ht="22.15" customHeight="1" x14ac:dyDescent="0.3">
      <c r="B17" s="51" t="s">
        <v>119</v>
      </c>
      <c r="C17" s="57" t="s">
        <v>113</v>
      </c>
      <c r="D17" s="64">
        <v>5</v>
      </c>
      <c r="E17" s="64">
        <v>5</v>
      </c>
      <c r="F17" s="66">
        <f t="shared" si="0"/>
        <v>0</v>
      </c>
      <c r="G17" s="57" t="str">
        <f t="shared" si="1"/>
        <v>Tied</v>
      </c>
    </row>
    <row r="18" spans="2:7" ht="22.15" customHeight="1" x14ac:dyDescent="0.3">
      <c r="B18" s="1"/>
      <c r="C18" s="1"/>
      <c r="D18" s="1" t="s">
        <v>270</v>
      </c>
      <c r="E18" s="1" t="s">
        <v>271</v>
      </c>
      <c r="F18" s="1" t="s">
        <v>272</v>
      </c>
      <c r="G18" s="1"/>
    </row>
    <row r="19" spans="2:7" ht="25.9" customHeight="1" x14ac:dyDescent="0.3">
      <c r="B19" s="132" t="s">
        <v>273</v>
      </c>
      <c r="C19" s="110"/>
      <c r="D19" s="48">
        <f>D10*0.15+D11*0.12+D12*0.1+D13*0.15+D14*0.15+D15*0.15+D16*0.08+D17*0.1</f>
        <v>4.5</v>
      </c>
      <c r="E19" s="48">
        <f>E10*0.15+E11*0.12+E12*0.1+E13*0.15+E14*0.15+E15*0.15+E16*0.08+E17*0.1</f>
        <v>4.4000000000000004</v>
      </c>
      <c r="F19" s="67">
        <f>ABS(D19-E19)</f>
        <v>9.9999999999999645E-2</v>
      </c>
      <c r="G19" s="68" t="str">
        <f>IF(D19&gt;E19,"App 1 — "&amp;C6," App 2 — "&amp;C6)</f>
        <v>App 1 — Gmail</v>
      </c>
    </row>
    <row r="20" spans="2:7" ht="10.15" customHeight="1" x14ac:dyDescent="0.3"/>
    <row r="21" spans="2:7" ht="16.2" customHeight="1" x14ac:dyDescent="0.3">
      <c r="B21" s="109" t="s">
        <v>274</v>
      </c>
      <c r="C21" s="110"/>
      <c r="D21" s="110"/>
      <c r="E21" s="110"/>
      <c r="F21" s="110"/>
      <c r="G21" s="110"/>
    </row>
    <row r="22" spans="2:7" ht="18" customHeight="1" x14ac:dyDescent="0.3">
      <c r="B22" s="129" t="s">
        <v>275</v>
      </c>
      <c r="C22" s="110"/>
      <c r="D22" s="110"/>
      <c r="E22" s="110"/>
      <c r="F22" s="110"/>
      <c r="G22" s="110"/>
    </row>
    <row r="23" spans="2:7" ht="19.95" customHeight="1" x14ac:dyDescent="0.3">
      <c r="B23" s="1" t="s">
        <v>276</v>
      </c>
      <c r="C23" s="1" t="s">
        <v>105</v>
      </c>
      <c r="D23" s="1" t="s">
        <v>277</v>
      </c>
      <c r="E23" s="1" t="s">
        <v>278</v>
      </c>
      <c r="F23" s="1" t="s">
        <v>279</v>
      </c>
      <c r="G23" s="1" t="s">
        <v>280</v>
      </c>
    </row>
    <row r="24" spans="2:7" ht="18" customHeight="1" x14ac:dyDescent="0.3">
      <c r="B24" s="44" t="s">
        <v>108</v>
      </c>
      <c r="C24" s="69">
        <v>0.15</v>
      </c>
      <c r="D24" s="45">
        <f t="shared" ref="D24:E31" si="2">D10</f>
        <v>5</v>
      </c>
      <c r="E24" s="45">
        <f t="shared" si="2"/>
        <v>5</v>
      </c>
      <c r="F24" s="70">
        <f>D24*0.15</f>
        <v>0.75</v>
      </c>
      <c r="G24" s="71">
        <f>E24*0.15</f>
        <v>0.75</v>
      </c>
    </row>
    <row r="25" spans="2:7" ht="18" customHeight="1" x14ac:dyDescent="0.3">
      <c r="B25" s="51" t="s">
        <v>110</v>
      </c>
      <c r="C25" s="72">
        <v>0.12</v>
      </c>
      <c r="D25" s="45">
        <f t="shared" si="2"/>
        <v>4</v>
      </c>
      <c r="E25" s="45">
        <f t="shared" si="2"/>
        <v>4</v>
      </c>
      <c r="F25" s="73">
        <f>D25*0.12</f>
        <v>0.48</v>
      </c>
      <c r="G25" s="74">
        <f>E25*0.12</f>
        <v>0.48</v>
      </c>
    </row>
    <row r="26" spans="2:7" ht="18" customHeight="1" x14ac:dyDescent="0.3">
      <c r="B26" s="44" t="s">
        <v>112</v>
      </c>
      <c r="C26" s="69">
        <v>0.1</v>
      </c>
      <c r="D26" s="45">
        <f t="shared" si="2"/>
        <v>5</v>
      </c>
      <c r="E26" s="45">
        <f t="shared" si="2"/>
        <v>4</v>
      </c>
      <c r="F26" s="70">
        <f>D26*0.1</f>
        <v>0.5</v>
      </c>
      <c r="G26" s="71">
        <f>E26*0.1</f>
        <v>0.4</v>
      </c>
    </row>
    <row r="27" spans="2:7" ht="18" customHeight="1" x14ac:dyDescent="0.3">
      <c r="B27" s="51" t="s">
        <v>114</v>
      </c>
      <c r="C27" s="72">
        <v>0.15</v>
      </c>
      <c r="D27" s="45">
        <f t="shared" si="2"/>
        <v>4</v>
      </c>
      <c r="E27" s="45">
        <f t="shared" si="2"/>
        <v>4</v>
      </c>
      <c r="F27" s="73">
        <f t="shared" ref="F27:G29" si="3">D27*0.15</f>
        <v>0.6</v>
      </c>
      <c r="G27" s="74">
        <f t="shared" si="3"/>
        <v>0.6</v>
      </c>
    </row>
    <row r="28" spans="2:7" ht="18" customHeight="1" x14ac:dyDescent="0.3">
      <c r="B28" s="44" t="s">
        <v>115</v>
      </c>
      <c r="C28" s="69">
        <v>0.15</v>
      </c>
      <c r="D28" s="45">
        <f t="shared" si="2"/>
        <v>4</v>
      </c>
      <c r="E28" s="45">
        <f t="shared" si="2"/>
        <v>4</v>
      </c>
      <c r="F28" s="70">
        <f t="shared" si="3"/>
        <v>0.6</v>
      </c>
      <c r="G28" s="71">
        <f t="shared" si="3"/>
        <v>0.6</v>
      </c>
    </row>
    <row r="29" spans="2:7" ht="18" customHeight="1" x14ac:dyDescent="0.3">
      <c r="B29" s="51" t="s">
        <v>116</v>
      </c>
      <c r="C29" s="72">
        <v>0.15</v>
      </c>
      <c r="D29" s="45">
        <f t="shared" si="2"/>
        <v>5</v>
      </c>
      <c r="E29" s="45">
        <f t="shared" si="2"/>
        <v>5</v>
      </c>
      <c r="F29" s="73">
        <f t="shared" si="3"/>
        <v>0.75</v>
      </c>
      <c r="G29" s="74">
        <f t="shared" si="3"/>
        <v>0.75</v>
      </c>
    </row>
    <row r="30" spans="2:7" ht="18" customHeight="1" x14ac:dyDescent="0.3">
      <c r="B30" s="44" t="s">
        <v>117</v>
      </c>
      <c r="C30" s="69">
        <v>0.08</v>
      </c>
      <c r="D30" s="45">
        <f t="shared" si="2"/>
        <v>4</v>
      </c>
      <c r="E30" s="45">
        <f t="shared" si="2"/>
        <v>4</v>
      </c>
      <c r="F30" s="70">
        <f>D30*0.08</f>
        <v>0.32</v>
      </c>
      <c r="G30" s="71">
        <f>E30*0.08</f>
        <v>0.32</v>
      </c>
    </row>
    <row r="31" spans="2:7" ht="18" customHeight="1" x14ac:dyDescent="0.3">
      <c r="B31" s="51" t="s">
        <v>119</v>
      </c>
      <c r="C31" s="72">
        <v>0.1</v>
      </c>
      <c r="D31" s="45">
        <f t="shared" si="2"/>
        <v>5</v>
      </c>
      <c r="E31" s="45">
        <f t="shared" si="2"/>
        <v>5</v>
      </c>
      <c r="F31" s="73">
        <f>D31*0.1</f>
        <v>0.5</v>
      </c>
      <c r="G31" s="74">
        <f>E31*0.1</f>
        <v>0.5</v>
      </c>
    </row>
    <row r="32" spans="2:7" ht="10.15" customHeight="1" x14ac:dyDescent="0.3"/>
    <row r="33" spans="2:7" ht="16.2" customHeight="1" x14ac:dyDescent="0.3">
      <c r="B33" s="109" t="s">
        <v>281</v>
      </c>
      <c r="C33" s="110"/>
      <c r="D33" s="110"/>
      <c r="E33" s="110"/>
      <c r="F33" s="110"/>
      <c r="G33" s="110"/>
    </row>
    <row r="34" spans="2:7" ht="19.95" customHeight="1" x14ac:dyDescent="0.3">
      <c r="B34" s="131" t="s">
        <v>672</v>
      </c>
      <c r="C34" s="110"/>
      <c r="D34" s="110"/>
      <c r="E34" s="110"/>
      <c r="F34" s="110"/>
      <c r="G34" s="110"/>
    </row>
    <row r="35" spans="2:7" ht="19.95" customHeight="1" x14ac:dyDescent="0.3">
      <c r="B35" s="110"/>
      <c r="C35" s="110"/>
      <c r="D35" s="110"/>
      <c r="E35" s="110"/>
      <c r="F35" s="110"/>
      <c r="G35" s="110"/>
    </row>
    <row r="36" spans="2:7" ht="10.15" customHeight="1" x14ac:dyDescent="0.3"/>
    <row r="37" spans="2:7" ht="16.2" customHeight="1" x14ac:dyDescent="0.3">
      <c r="B37" s="109" t="s">
        <v>282</v>
      </c>
      <c r="C37" s="110"/>
      <c r="D37" s="110"/>
      <c r="E37" s="110"/>
      <c r="F37" s="110"/>
      <c r="G37" s="110"/>
    </row>
    <row r="38" spans="2:7" ht="18" customHeight="1" x14ac:dyDescent="0.3">
      <c r="B38" s="119" t="s">
        <v>283</v>
      </c>
      <c r="C38" s="122"/>
      <c r="D38" s="120"/>
      <c r="E38" s="119" t="s">
        <v>284</v>
      </c>
      <c r="F38" s="120"/>
      <c r="G38" s="17" t="s">
        <v>285</v>
      </c>
    </row>
    <row r="39" spans="2:7" ht="23.95" customHeight="1" x14ac:dyDescent="0.3">
      <c r="B39" s="118" t="s">
        <v>286</v>
      </c>
      <c r="C39" s="110"/>
      <c r="D39" s="110"/>
      <c r="E39" s="117" t="s">
        <v>287</v>
      </c>
      <c r="F39" s="110"/>
      <c r="G39" s="75" t="s">
        <v>288</v>
      </c>
    </row>
    <row r="40" spans="2:7" ht="23.95" customHeight="1" x14ac:dyDescent="0.3">
      <c r="B40" s="130" t="s">
        <v>289</v>
      </c>
      <c r="C40" s="110"/>
      <c r="D40" s="110"/>
      <c r="E40" s="117" t="s">
        <v>290</v>
      </c>
      <c r="F40" s="110"/>
      <c r="G40" s="75" t="s">
        <v>288</v>
      </c>
    </row>
    <row r="41" spans="2:7" ht="23.95" customHeight="1" x14ac:dyDescent="0.3">
      <c r="B41" s="118" t="s">
        <v>291</v>
      </c>
      <c r="C41" s="110"/>
      <c r="D41" s="110"/>
      <c r="E41" s="117" t="s">
        <v>292</v>
      </c>
      <c r="F41" s="110"/>
      <c r="G41" s="75" t="s">
        <v>293</v>
      </c>
    </row>
    <row r="42" spans="2:7" ht="23.95" customHeight="1" x14ac:dyDescent="0.3">
      <c r="B42" s="130" t="s">
        <v>294</v>
      </c>
      <c r="C42" s="110"/>
      <c r="D42" s="110"/>
      <c r="E42" s="117" t="s">
        <v>295</v>
      </c>
      <c r="F42" s="110"/>
      <c r="G42" s="75" t="s">
        <v>296</v>
      </c>
    </row>
    <row r="43" spans="2:7" ht="23.95" customHeight="1" x14ac:dyDescent="0.3">
      <c r="B43" s="118" t="s">
        <v>297</v>
      </c>
      <c r="C43" s="110"/>
      <c r="D43" s="110"/>
      <c r="E43" s="117" t="s">
        <v>298</v>
      </c>
      <c r="F43" s="110"/>
      <c r="G43" s="75" t="s">
        <v>296</v>
      </c>
    </row>
    <row r="44" spans="2:7" ht="10.15" customHeight="1" x14ac:dyDescent="0.3"/>
    <row r="45" spans="2:7" ht="16.2" customHeight="1" x14ac:dyDescent="0.3">
      <c r="B45" s="109" t="s">
        <v>299</v>
      </c>
      <c r="C45" s="110"/>
      <c r="D45" s="110"/>
      <c r="E45" s="110"/>
      <c r="F45" s="110"/>
      <c r="G45" s="110"/>
    </row>
    <row r="46" spans="2:7" ht="16.2" customHeight="1" x14ac:dyDescent="0.3">
      <c r="B46" s="109" t="s">
        <v>300</v>
      </c>
      <c r="C46" s="110"/>
      <c r="D46" s="110"/>
      <c r="E46" s="110"/>
      <c r="F46" s="110"/>
      <c r="G46" s="110"/>
    </row>
    <row r="47" spans="2:7" ht="18" customHeight="1" x14ac:dyDescent="0.3">
      <c r="B47" s="123" t="s">
        <v>668</v>
      </c>
      <c r="C47" s="110"/>
      <c r="D47" s="110"/>
      <c r="E47" s="110"/>
      <c r="F47" s="110"/>
      <c r="G47" s="110"/>
    </row>
    <row r="48" spans="2:7" ht="18" customHeight="1" x14ac:dyDescent="0.3">
      <c r="B48" s="110"/>
      <c r="C48" s="110"/>
      <c r="D48" s="110"/>
      <c r="E48" s="110"/>
      <c r="F48" s="110"/>
      <c r="G48" s="110"/>
    </row>
    <row r="49" spans="2:7" ht="18" customHeight="1" x14ac:dyDescent="0.3">
      <c r="B49" s="110"/>
      <c r="C49" s="110"/>
      <c r="D49" s="110"/>
      <c r="E49" s="110"/>
      <c r="F49" s="110"/>
      <c r="G49" s="110"/>
    </row>
    <row r="50" spans="2:7" ht="18" customHeight="1" x14ac:dyDescent="0.3">
      <c r="B50" s="110"/>
      <c r="C50" s="110"/>
      <c r="D50" s="110"/>
      <c r="E50" s="110"/>
      <c r="F50" s="110"/>
      <c r="G50" s="110"/>
    </row>
    <row r="51" spans="2:7" ht="16.2" customHeight="1" x14ac:dyDescent="0.3">
      <c r="B51" s="109" t="s">
        <v>301</v>
      </c>
      <c r="C51" s="110"/>
      <c r="D51" s="110"/>
      <c r="E51" s="110"/>
      <c r="F51" s="110"/>
      <c r="G51" s="110"/>
    </row>
    <row r="52" spans="2:7" ht="18" customHeight="1" x14ac:dyDescent="0.3">
      <c r="B52" s="123" t="s">
        <v>669</v>
      </c>
      <c r="C52" s="110"/>
      <c r="D52" s="110"/>
      <c r="E52" s="110"/>
      <c r="F52" s="110"/>
      <c r="G52" s="110"/>
    </row>
    <row r="53" spans="2:7" ht="18" customHeight="1" x14ac:dyDescent="0.3">
      <c r="B53" s="110"/>
      <c r="C53" s="110"/>
      <c r="D53" s="110"/>
      <c r="E53" s="110"/>
      <c r="F53" s="110"/>
      <c r="G53" s="110"/>
    </row>
    <row r="54" spans="2:7" ht="18" customHeight="1" x14ac:dyDescent="0.3">
      <c r="B54" s="110"/>
      <c r="C54" s="110"/>
      <c r="D54" s="110"/>
      <c r="E54" s="110"/>
      <c r="F54" s="110"/>
      <c r="G54" s="110"/>
    </row>
    <row r="55" spans="2:7" ht="18" customHeight="1" x14ac:dyDescent="0.3">
      <c r="B55" s="110"/>
      <c r="C55" s="110"/>
      <c r="D55" s="110"/>
      <c r="E55" s="110"/>
      <c r="F55" s="110"/>
      <c r="G55" s="110"/>
    </row>
    <row r="56" spans="2:7" ht="16.2" customHeight="1" x14ac:dyDescent="0.3">
      <c r="B56" s="109" t="s">
        <v>302</v>
      </c>
      <c r="C56" s="110"/>
      <c r="D56" s="110"/>
      <c r="E56" s="110"/>
      <c r="F56" s="110"/>
      <c r="G56" s="110"/>
    </row>
    <row r="57" spans="2:7" ht="18" customHeight="1" x14ac:dyDescent="0.3">
      <c r="B57" s="123" t="s">
        <v>670</v>
      </c>
      <c r="C57" s="110"/>
      <c r="D57" s="110"/>
      <c r="E57" s="110"/>
      <c r="F57" s="110"/>
      <c r="G57" s="110"/>
    </row>
    <row r="58" spans="2:7" ht="18" customHeight="1" x14ac:dyDescent="0.3">
      <c r="B58" s="110"/>
      <c r="C58" s="110"/>
      <c r="D58" s="110"/>
      <c r="E58" s="110"/>
      <c r="F58" s="110"/>
      <c r="G58" s="110"/>
    </row>
    <row r="59" spans="2:7" ht="18" customHeight="1" x14ac:dyDescent="0.3">
      <c r="B59" s="110"/>
      <c r="C59" s="110"/>
      <c r="D59" s="110"/>
      <c r="E59" s="110"/>
      <c r="F59" s="110"/>
      <c r="G59" s="110"/>
    </row>
    <row r="60" spans="2:7" ht="18" customHeight="1" x14ac:dyDescent="0.3">
      <c r="B60" s="110"/>
      <c r="C60" s="110"/>
      <c r="D60" s="110"/>
      <c r="E60" s="110"/>
      <c r="F60" s="110"/>
      <c r="G60" s="110"/>
    </row>
    <row r="61" spans="2:7" ht="16.2" customHeight="1" x14ac:dyDescent="0.3">
      <c r="B61" s="109" t="s">
        <v>303</v>
      </c>
      <c r="C61" s="110"/>
      <c r="D61" s="110"/>
      <c r="E61" s="110"/>
      <c r="F61" s="110"/>
      <c r="G61" s="110"/>
    </row>
    <row r="62" spans="2:7" ht="18" customHeight="1" x14ac:dyDescent="0.3">
      <c r="B62" s="123" t="s">
        <v>671</v>
      </c>
      <c r="C62" s="110"/>
      <c r="D62" s="110"/>
      <c r="E62" s="110"/>
      <c r="F62" s="110"/>
      <c r="G62" s="110"/>
    </row>
    <row r="63" spans="2:7" ht="18" customHeight="1" x14ac:dyDescent="0.3">
      <c r="B63" s="110"/>
      <c r="C63" s="110"/>
      <c r="D63" s="110"/>
      <c r="E63" s="110"/>
      <c r="F63" s="110"/>
      <c r="G63" s="110"/>
    </row>
    <row r="64" spans="2:7" ht="18" customHeight="1" x14ac:dyDescent="0.3">
      <c r="B64" s="110"/>
      <c r="C64" s="110"/>
      <c r="D64" s="110"/>
      <c r="E64" s="110"/>
      <c r="F64" s="110"/>
      <c r="G64" s="110"/>
    </row>
    <row r="65" spans="2:7" ht="18" customHeight="1" x14ac:dyDescent="0.3">
      <c r="B65" s="110"/>
      <c r="C65" s="110"/>
      <c r="D65" s="110"/>
      <c r="E65" s="110"/>
      <c r="F65" s="110"/>
      <c r="G65" s="110"/>
    </row>
  </sheetData>
  <mergeCells count="31">
    <mergeCell ref="B51:G51"/>
    <mergeCell ref="B41:D41"/>
    <mergeCell ref="B19:C19"/>
    <mergeCell ref="B45:G45"/>
    <mergeCell ref="B62:G65"/>
    <mergeCell ref="B52:G55"/>
    <mergeCell ref="E43:F43"/>
    <mergeCell ref="B2:G2"/>
    <mergeCell ref="B42:D42"/>
    <mergeCell ref="B61:G61"/>
    <mergeCell ref="B47:G50"/>
    <mergeCell ref="B4:G4"/>
    <mergeCell ref="B34:G35"/>
    <mergeCell ref="B46:G46"/>
    <mergeCell ref="B22:G22"/>
    <mergeCell ref="B57:G60"/>
    <mergeCell ref="E41:F41"/>
    <mergeCell ref="B56:G56"/>
    <mergeCell ref="B43:D43"/>
    <mergeCell ref="B39:D39"/>
    <mergeCell ref="B1:G1"/>
    <mergeCell ref="B8:G8"/>
    <mergeCell ref="E42:F42"/>
    <mergeCell ref="E39:F39"/>
    <mergeCell ref="B38:D38"/>
    <mergeCell ref="E38:F38"/>
    <mergeCell ref="B37:G37"/>
    <mergeCell ref="B40:D40"/>
    <mergeCell ref="E40:F40"/>
    <mergeCell ref="B33:G33"/>
    <mergeCell ref="B21:G2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F61"/>
  <sheetViews>
    <sheetView showGridLines="0" topLeftCell="B8" workbookViewId="0">
      <selection activeCell="J20" sqref="J20"/>
    </sheetView>
  </sheetViews>
  <sheetFormatPr defaultRowHeight="14.4" x14ac:dyDescent="0.3"/>
  <cols>
    <col min="1" max="1" width="3" customWidth="1"/>
    <col min="2" max="2" width="16" customWidth="1"/>
    <col min="3" max="3" width="20" customWidth="1"/>
    <col min="4" max="5" width="8" customWidth="1"/>
    <col min="6" max="6" width="30" customWidth="1"/>
    <col min="7" max="7" width="5" customWidth="1"/>
  </cols>
  <sheetData>
    <row r="1" spans="2:6" ht="31.85" customHeight="1" x14ac:dyDescent="0.3">
      <c r="B1" s="116" t="s">
        <v>304</v>
      </c>
      <c r="C1" s="110"/>
      <c r="D1" s="110"/>
      <c r="E1" s="110"/>
      <c r="F1" s="110"/>
    </row>
    <row r="2" spans="2:6" ht="18" customHeight="1" x14ac:dyDescent="0.3">
      <c r="B2" s="129" t="s">
        <v>305</v>
      </c>
      <c r="C2" s="110"/>
      <c r="D2" s="110"/>
      <c r="E2" s="110"/>
      <c r="F2" s="110"/>
    </row>
    <row r="3" spans="2:6" ht="10.15" customHeight="1" x14ac:dyDescent="0.3"/>
    <row r="4" spans="2:6" ht="16.2" customHeight="1" x14ac:dyDescent="0.3">
      <c r="B4" s="109" t="s">
        <v>306</v>
      </c>
      <c r="C4" s="110"/>
      <c r="D4" s="110"/>
      <c r="E4" s="110"/>
      <c r="F4" s="110"/>
    </row>
    <row r="5" spans="2:6" ht="19.95" customHeight="1" x14ac:dyDescent="0.3">
      <c r="B5" s="133" t="s">
        <v>307</v>
      </c>
      <c r="C5" s="110"/>
      <c r="D5" s="110"/>
      <c r="E5" s="110"/>
      <c r="F5" s="110"/>
    </row>
    <row r="6" spans="2:6" ht="19.95" customHeight="1" x14ac:dyDescent="0.3">
      <c r="B6" s="110"/>
      <c r="C6" s="110"/>
      <c r="D6" s="110"/>
      <c r="E6" s="110"/>
      <c r="F6" s="110"/>
    </row>
    <row r="7" spans="2:6" ht="10.15" customHeight="1" x14ac:dyDescent="0.3"/>
    <row r="8" spans="2:6" ht="16.2" customHeight="1" x14ac:dyDescent="0.3">
      <c r="B8" s="109" t="s">
        <v>308</v>
      </c>
      <c r="C8" s="110"/>
      <c r="D8" s="110"/>
      <c r="E8" s="110"/>
      <c r="F8" s="110"/>
    </row>
    <row r="9" spans="2:6" ht="18" customHeight="1" x14ac:dyDescent="0.3">
      <c r="B9" s="76" t="s">
        <v>309</v>
      </c>
      <c r="C9" s="76" t="s">
        <v>310</v>
      </c>
      <c r="D9" s="76" t="s">
        <v>311</v>
      </c>
      <c r="E9" s="76" t="s">
        <v>312</v>
      </c>
      <c r="F9" s="76" t="s">
        <v>313</v>
      </c>
    </row>
    <row r="10" spans="2:6" ht="36" customHeight="1" x14ac:dyDescent="0.3">
      <c r="B10" s="28" t="s">
        <v>314</v>
      </c>
      <c r="C10" s="77" t="s">
        <v>315</v>
      </c>
      <c r="D10" s="77" t="s">
        <v>17</v>
      </c>
      <c r="E10" s="77" t="s">
        <v>316</v>
      </c>
      <c r="F10" s="77" t="s">
        <v>317</v>
      </c>
    </row>
    <row r="11" spans="2:6" ht="36" customHeight="1" x14ac:dyDescent="0.3">
      <c r="B11" s="28" t="s">
        <v>318</v>
      </c>
      <c r="C11" s="77" t="s">
        <v>319</v>
      </c>
      <c r="D11" s="77" t="s">
        <v>18</v>
      </c>
      <c r="E11" s="77" t="s">
        <v>320</v>
      </c>
      <c r="F11" s="77" t="s">
        <v>321</v>
      </c>
    </row>
    <row r="12" spans="2:6" ht="36" customHeight="1" x14ac:dyDescent="0.3">
      <c r="B12" s="21" t="s">
        <v>322</v>
      </c>
      <c r="C12" s="78" t="s">
        <v>323</v>
      </c>
      <c r="D12" s="78" t="s">
        <v>18</v>
      </c>
      <c r="E12" s="78" t="s">
        <v>316</v>
      </c>
      <c r="F12" s="78" t="s">
        <v>324</v>
      </c>
    </row>
    <row r="13" spans="2:6" ht="10.15" customHeight="1" x14ac:dyDescent="0.3"/>
    <row r="14" spans="2:6" ht="16.2" customHeight="1" x14ac:dyDescent="0.3">
      <c r="B14" s="109" t="s">
        <v>325</v>
      </c>
      <c r="C14" s="110"/>
      <c r="D14" s="110"/>
      <c r="E14" s="110"/>
      <c r="F14" s="110"/>
    </row>
    <row r="15" spans="2:6" ht="22.15" customHeight="1" x14ac:dyDescent="0.3">
      <c r="B15" s="112" t="s">
        <v>326</v>
      </c>
      <c r="C15" s="110"/>
      <c r="D15" s="110"/>
      <c r="E15" s="110"/>
      <c r="F15" s="110"/>
    </row>
    <row r="16" spans="2:6" ht="16.2" customHeight="1" x14ac:dyDescent="0.3">
      <c r="B16" s="1" t="s">
        <v>45</v>
      </c>
      <c r="C16" s="112" t="s">
        <v>327</v>
      </c>
      <c r="D16" s="122"/>
      <c r="E16" s="122"/>
      <c r="F16" s="120"/>
    </row>
    <row r="17" spans="2:6" ht="18" customHeight="1" x14ac:dyDescent="0.3">
      <c r="B17" s="2" t="s">
        <v>46</v>
      </c>
      <c r="C17" s="125" t="s">
        <v>25</v>
      </c>
      <c r="D17" s="110"/>
      <c r="E17" s="110"/>
      <c r="F17" s="110"/>
    </row>
    <row r="18" spans="2:6" ht="18" customHeight="1" x14ac:dyDescent="0.3">
      <c r="B18" s="2" t="s">
        <v>328</v>
      </c>
      <c r="C18" s="125" t="s">
        <v>677</v>
      </c>
      <c r="D18" s="110"/>
      <c r="E18" s="110"/>
      <c r="F18" s="110"/>
    </row>
    <row r="19" spans="2:6" ht="16.2" customHeight="1" x14ac:dyDescent="0.3">
      <c r="B19" s="2" t="s">
        <v>329</v>
      </c>
      <c r="C19" s="125" t="s">
        <v>492</v>
      </c>
      <c r="D19" s="110"/>
      <c r="E19" s="110"/>
      <c r="F19" s="110"/>
    </row>
    <row r="20" spans="2:6" ht="16.2" customHeight="1" x14ac:dyDescent="0.3">
      <c r="B20" s="2" t="s">
        <v>330</v>
      </c>
      <c r="C20" s="125">
        <v>4</v>
      </c>
      <c r="D20" s="110"/>
      <c r="E20" s="110"/>
      <c r="F20" s="110"/>
    </row>
    <row r="21" spans="2:6" ht="16.2" customHeight="1" x14ac:dyDescent="0.3">
      <c r="B21" s="2" t="s">
        <v>331</v>
      </c>
      <c r="C21" s="125">
        <v>5</v>
      </c>
      <c r="D21" s="110"/>
      <c r="E21" s="110"/>
      <c r="F21" s="110"/>
    </row>
    <row r="22" spans="2:6" ht="18" customHeight="1" x14ac:dyDescent="0.3">
      <c r="B22" s="2" t="s">
        <v>332</v>
      </c>
      <c r="C22" s="125" t="s">
        <v>678</v>
      </c>
      <c r="D22" s="110"/>
      <c r="E22" s="110"/>
      <c r="F22" s="110"/>
    </row>
    <row r="23" spans="2:6" ht="18" customHeight="1" x14ac:dyDescent="0.3">
      <c r="B23" s="2" t="s">
        <v>333</v>
      </c>
      <c r="C23" s="125" t="s">
        <v>679</v>
      </c>
      <c r="D23" s="110"/>
      <c r="E23" s="110"/>
      <c r="F23" s="110"/>
    </row>
    <row r="24" spans="2:6" ht="36" customHeight="1" x14ac:dyDescent="0.3">
      <c r="B24" s="2" t="s">
        <v>334</v>
      </c>
      <c r="C24" s="125" t="s">
        <v>680</v>
      </c>
      <c r="D24" s="110"/>
      <c r="E24" s="110"/>
      <c r="F24" s="110"/>
    </row>
    <row r="25" spans="2:6" ht="7.9" customHeight="1" x14ac:dyDescent="0.3"/>
    <row r="27" spans="2:6" ht="22.15" customHeight="1" x14ac:dyDescent="0.3">
      <c r="B27" s="112" t="s">
        <v>335</v>
      </c>
      <c r="C27" s="110"/>
      <c r="D27" s="110"/>
      <c r="E27" s="110"/>
      <c r="F27" s="110"/>
    </row>
    <row r="28" spans="2:6" ht="16.2" customHeight="1" x14ac:dyDescent="0.3">
      <c r="B28" s="1" t="s">
        <v>45</v>
      </c>
      <c r="C28" s="112" t="s">
        <v>327</v>
      </c>
      <c r="D28" s="122"/>
      <c r="E28" s="122"/>
      <c r="F28" s="120"/>
    </row>
    <row r="29" spans="2:6" ht="18" customHeight="1" x14ac:dyDescent="0.3">
      <c r="B29" s="2" t="s">
        <v>46</v>
      </c>
      <c r="C29" s="125"/>
      <c r="D29" s="110"/>
      <c r="E29" s="110"/>
      <c r="F29" s="110"/>
    </row>
    <row r="30" spans="2:6" ht="18" customHeight="1" x14ac:dyDescent="0.3">
      <c r="B30" s="2" t="s">
        <v>328</v>
      </c>
      <c r="C30" s="125"/>
      <c r="D30" s="110"/>
      <c r="E30" s="110"/>
      <c r="F30" s="110"/>
    </row>
    <row r="31" spans="2:6" ht="16.2" customHeight="1" x14ac:dyDescent="0.3">
      <c r="B31" s="2" t="s">
        <v>329</v>
      </c>
      <c r="C31" s="125"/>
      <c r="D31" s="110"/>
      <c r="E31" s="110"/>
      <c r="F31" s="110"/>
    </row>
    <row r="32" spans="2:6" ht="16.2" customHeight="1" x14ac:dyDescent="0.3">
      <c r="B32" s="2" t="s">
        <v>330</v>
      </c>
      <c r="C32" s="125"/>
      <c r="D32" s="110"/>
      <c r="E32" s="110"/>
      <c r="F32" s="110"/>
    </row>
    <row r="33" spans="2:6" ht="16.2" customHeight="1" x14ac:dyDescent="0.3">
      <c r="B33" s="2" t="s">
        <v>331</v>
      </c>
      <c r="C33" s="125"/>
      <c r="D33" s="110"/>
      <c r="E33" s="110"/>
      <c r="F33" s="110"/>
    </row>
    <row r="34" spans="2:6" ht="18" customHeight="1" x14ac:dyDescent="0.3">
      <c r="B34" s="2" t="s">
        <v>332</v>
      </c>
      <c r="C34" s="125"/>
      <c r="D34" s="110"/>
      <c r="E34" s="110"/>
      <c r="F34" s="110"/>
    </row>
    <row r="35" spans="2:6" ht="18" customHeight="1" x14ac:dyDescent="0.3">
      <c r="B35" s="2" t="s">
        <v>333</v>
      </c>
      <c r="C35" s="125"/>
      <c r="D35" s="110"/>
      <c r="E35" s="110"/>
      <c r="F35" s="110"/>
    </row>
    <row r="36" spans="2:6" ht="36" customHeight="1" x14ac:dyDescent="0.3">
      <c r="B36" s="2" t="s">
        <v>334</v>
      </c>
      <c r="C36" s="125"/>
      <c r="D36" s="110"/>
      <c r="E36" s="110"/>
      <c r="F36" s="110"/>
    </row>
    <row r="37" spans="2:6" ht="7.9" customHeight="1" x14ac:dyDescent="0.3"/>
    <row r="39" spans="2:6" ht="22.15" customHeight="1" x14ac:dyDescent="0.3">
      <c r="B39" s="119" t="s">
        <v>336</v>
      </c>
      <c r="C39" s="110"/>
      <c r="D39" s="110"/>
      <c r="E39" s="110"/>
      <c r="F39" s="110"/>
    </row>
    <row r="40" spans="2:6" ht="16.2" customHeight="1" x14ac:dyDescent="0.3">
      <c r="B40" s="17" t="s">
        <v>45</v>
      </c>
      <c r="C40" s="119" t="s">
        <v>327</v>
      </c>
      <c r="D40" s="122"/>
      <c r="E40" s="122"/>
      <c r="F40" s="120"/>
    </row>
    <row r="41" spans="2:6" ht="18" customHeight="1" x14ac:dyDescent="0.3">
      <c r="B41" s="2" t="s">
        <v>46</v>
      </c>
      <c r="C41" s="125" t="s">
        <v>580</v>
      </c>
      <c r="D41" s="110"/>
      <c r="E41" s="110"/>
      <c r="F41" s="110"/>
    </row>
    <row r="42" spans="2:6" ht="18" customHeight="1" x14ac:dyDescent="0.3">
      <c r="B42" s="2" t="s">
        <v>328</v>
      </c>
      <c r="C42" s="125" t="s">
        <v>673</v>
      </c>
      <c r="D42" s="110"/>
      <c r="E42" s="110"/>
      <c r="F42" s="110"/>
    </row>
    <row r="43" spans="2:6" ht="16.2" customHeight="1" x14ac:dyDescent="0.3">
      <c r="B43" s="2" t="s">
        <v>329</v>
      </c>
      <c r="C43" s="125" t="s">
        <v>482</v>
      </c>
      <c r="D43" s="110"/>
      <c r="E43" s="110"/>
      <c r="F43" s="110"/>
    </row>
    <row r="44" spans="2:6" ht="16.2" customHeight="1" x14ac:dyDescent="0.3">
      <c r="B44" s="2" t="s">
        <v>330</v>
      </c>
      <c r="C44" s="125">
        <v>4</v>
      </c>
      <c r="D44" s="110"/>
      <c r="E44" s="110"/>
      <c r="F44" s="110"/>
    </row>
    <row r="45" spans="2:6" ht="16.2" customHeight="1" x14ac:dyDescent="0.3">
      <c r="B45" s="2" t="s">
        <v>331</v>
      </c>
      <c r="C45" s="125">
        <v>5</v>
      </c>
      <c r="D45" s="110"/>
      <c r="E45" s="110"/>
      <c r="F45" s="110"/>
    </row>
    <row r="46" spans="2:6" ht="18" customHeight="1" x14ac:dyDescent="0.3">
      <c r="B46" s="2" t="s">
        <v>332</v>
      </c>
      <c r="C46" s="125" t="s">
        <v>674</v>
      </c>
      <c r="D46" s="110"/>
      <c r="E46" s="110"/>
      <c r="F46" s="110"/>
    </row>
    <row r="47" spans="2:6" ht="18" customHeight="1" x14ac:dyDescent="0.3">
      <c r="B47" s="2" t="s">
        <v>333</v>
      </c>
      <c r="C47" s="125" t="s">
        <v>675</v>
      </c>
      <c r="D47" s="110"/>
      <c r="E47" s="110"/>
      <c r="F47" s="110"/>
    </row>
    <row r="48" spans="2:6" ht="36" customHeight="1" x14ac:dyDescent="0.3">
      <c r="B48" s="2" t="s">
        <v>334</v>
      </c>
      <c r="C48" s="125" t="s">
        <v>676</v>
      </c>
      <c r="D48" s="110"/>
      <c r="E48" s="110"/>
      <c r="F48" s="110"/>
    </row>
    <row r="49" spans="2:6" ht="7.9" customHeight="1" x14ac:dyDescent="0.3"/>
    <row r="51" spans="2:6" ht="22.15" customHeight="1" x14ac:dyDescent="0.3">
      <c r="B51" s="119" t="s">
        <v>337</v>
      </c>
      <c r="C51" s="110"/>
      <c r="D51" s="110"/>
      <c r="E51" s="110"/>
      <c r="F51" s="110"/>
    </row>
    <row r="52" spans="2:6" ht="16.2" customHeight="1" x14ac:dyDescent="0.3">
      <c r="B52" s="17" t="s">
        <v>45</v>
      </c>
      <c r="C52" s="119" t="s">
        <v>327</v>
      </c>
      <c r="D52" s="122"/>
      <c r="E52" s="122"/>
      <c r="F52" s="120"/>
    </row>
    <row r="53" spans="2:6" ht="18" customHeight="1" x14ac:dyDescent="0.3">
      <c r="B53" s="2" t="s">
        <v>46</v>
      </c>
      <c r="C53" s="125" t="s">
        <v>580</v>
      </c>
      <c r="D53" s="110"/>
      <c r="E53" s="110"/>
      <c r="F53" s="110"/>
    </row>
    <row r="54" spans="2:6" ht="18" customHeight="1" x14ac:dyDescent="0.3">
      <c r="B54" s="2" t="s">
        <v>328</v>
      </c>
      <c r="C54" s="125"/>
      <c r="D54" s="110"/>
      <c r="E54" s="110"/>
      <c r="F54" s="110"/>
    </row>
    <row r="55" spans="2:6" ht="16.2" customHeight="1" x14ac:dyDescent="0.3">
      <c r="B55" s="2" t="s">
        <v>329</v>
      </c>
      <c r="C55" s="125"/>
      <c r="D55" s="110"/>
      <c r="E55" s="110"/>
      <c r="F55" s="110"/>
    </row>
    <row r="56" spans="2:6" ht="16.2" customHeight="1" x14ac:dyDescent="0.3">
      <c r="B56" s="2" t="s">
        <v>330</v>
      </c>
      <c r="C56" s="125"/>
      <c r="D56" s="110"/>
      <c r="E56" s="110"/>
      <c r="F56" s="110"/>
    </row>
    <row r="57" spans="2:6" ht="16.2" customHeight="1" x14ac:dyDescent="0.3">
      <c r="B57" s="2" t="s">
        <v>331</v>
      </c>
      <c r="C57" s="125"/>
      <c r="D57" s="110"/>
      <c r="E57" s="110"/>
      <c r="F57" s="110"/>
    </row>
    <row r="58" spans="2:6" ht="18" customHeight="1" x14ac:dyDescent="0.3">
      <c r="B58" s="2" t="s">
        <v>332</v>
      </c>
      <c r="C58" s="125"/>
      <c r="D58" s="110"/>
      <c r="E58" s="110"/>
      <c r="F58" s="110"/>
    </row>
    <row r="59" spans="2:6" ht="18" customHeight="1" x14ac:dyDescent="0.3">
      <c r="B59" s="2" t="s">
        <v>333</v>
      </c>
      <c r="C59" s="125"/>
      <c r="D59" s="110"/>
      <c r="E59" s="110"/>
      <c r="F59" s="110"/>
    </row>
    <row r="60" spans="2:6" ht="36" customHeight="1" x14ac:dyDescent="0.3">
      <c r="B60" s="2" t="s">
        <v>334</v>
      </c>
      <c r="C60" s="125"/>
      <c r="D60" s="110"/>
      <c r="E60" s="110"/>
      <c r="F60" s="110"/>
    </row>
    <row r="61" spans="2:6" ht="7.9" customHeight="1" x14ac:dyDescent="0.3"/>
  </sheetData>
  <mergeCells count="46">
    <mergeCell ref="C59:F59"/>
    <mergeCell ref="C60:F60"/>
    <mergeCell ref="C36:F36"/>
    <mergeCell ref="C58:F58"/>
    <mergeCell ref="C45:F45"/>
    <mergeCell ref="C55:F55"/>
    <mergeCell ref="C56:F56"/>
    <mergeCell ref="C57:F57"/>
    <mergeCell ref="C54:F54"/>
    <mergeCell ref="C41:F41"/>
    <mergeCell ref="C47:F47"/>
    <mergeCell ref="C44:F44"/>
    <mergeCell ref="C22:F22"/>
    <mergeCell ref="C40:F40"/>
    <mergeCell ref="C31:F31"/>
    <mergeCell ref="C43:F43"/>
    <mergeCell ref="B51:F51"/>
    <mergeCell ref="C53:F53"/>
    <mergeCell ref="B39:F39"/>
    <mergeCell ref="C46:F46"/>
    <mergeCell ref="B1:F1"/>
    <mergeCell ref="B14:F14"/>
    <mergeCell ref="B8:F8"/>
    <mergeCell ref="C24:F24"/>
    <mergeCell ref="C42:F42"/>
    <mergeCell ref="C16:F16"/>
    <mergeCell ref="B15:F15"/>
    <mergeCell ref="C21:F21"/>
    <mergeCell ref="B2:F2"/>
    <mergeCell ref="C34:F34"/>
    <mergeCell ref="C30:F30"/>
    <mergeCell ref="B5:F6"/>
    <mergeCell ref="C33:F33"/>
    <mergeCell ref="B27:F27"/>
    <mergeCell ref="C28:F28"/>
    <mergeCell ref="C18:F18"/>
    <mergeCell ref="B4:F4"/>
    <mergeCell ref="C52:F52"/>
    <mergeCell ref="C48:F48"/>
    <mergeCell ref="C17:F17"/>
    <mergeCell ref="C23:F23"/>
    <mergeCell ref="C32:F32"/>
    <mergeCell ref="C19:F19"/>
    <mergeCell ref="C35:F35"/>
    <mergeCell ref="C20:F20"/>
    <mergeCell ref="C29:F29"/>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E21"/>
  <sheetViews>
    <sheetView showGridLines="0" tabSelected="1" workbookViewId="0"/>
  </sheetViews>
  <sheetFormatPr defaultRowHeight="14.4" x14ac:dyDescent="0.3"/>
  <cols>
    <col min="1" max="1" width="3" customWidth="1"/>
    <col min="2" max="2" width="8" customWidth="1"/>
    <col min="3" max="3" width="30" customWidth="1"/>
    <col min="4" max="4" width="36" customWidth="1"/>
    <col min="5" max="5" width="14" customWidth="1"/>
    <col min="6" max="6" width="5" customWidth="1"/>
  </cols>
  <sheetData>
    <row r="1" spans="2:5" ht="31.85" customHeight="1" x14ac:dyDescent="0.3">
      <c r="B1" s="116" t="s">
        <v>338</v>
      </c>
      <c r="C1" s="110"/>
      <c r="D1" s="110"/>
      <c r="E1" s="110"/>
    </row>
    <row r="2" spans="2:5" ht="18" customHeight="1" x14ac:dyDescent="0.3">
      <c r="B2" s="121" t="s">
        <v>339</v>
      </c>
      <c r="C2" s="110"/>
      <c r="D2" s="110"/>
      <c r="E2" s="110"/>
    </row>
    <row r="3" spans="2:5" ht="10.15" customHeight="1" x14ac:dyDescent="0.3"/>
    <row r="4" spans="2:5" ht="19.95" customHeight="1" x14ac:dyDescent="0.3">
      <c r="B4" s="18" t="s">
        <v>340</v>
      </c>
      <c r="C4" s="18" t="s">
        <v>341</v>
      </c>
      <c r="D4" s="18" t="s">
        <v>342</v>
      </c>
      <c r="E4" s="18" t="s">
        <v>343</v>
      </c>
    </row>
    <row r="5" spans="2:5" ht="36" customHeight="1" x14ac:dyDescent="0.3">
      <c r="B5" s="22" t="s">
        <v>57</v>
      </c>
      <c r="C5" s="22" t="s">
        <v>344</v>
      </c>
      <c r="D5" s="23" t="s">
        <v>345</v>
      </c>
      <c r="E5" s="23" t="s">
        <v>346</v>
      </c>
    </row>
    <row r="6" spans="2:5" ht="36" customHeight="1" x14ac:dyDescent="0.3">
      <c r="B6" s="51" t="s">
        <v>60</v>
      </c>
      <c r="C6" s="51" t="s">
        <v>347</v>
      </c>
      <c r="D6" s="19" t="s">
        <v>348</v>
      </c>
      <c r="E6" s="19" t="s">
        <v>349</v>
      </c>
    </row>
    <row r="7" spans="2:5" ht="36" customHeight="1" x14ac:dyDescent="0.3">
      <c r="B7" s="44" t="s">
        <v>62</v>
      </c>
      <c r="C7" s="44" t="s">
        <v>350</v>
      </c>
      <c r="D7" s="49" t="s">
        <v>351</v>
      </c>
      <c r="E7" s="49" t="s">
        <v>352</v>
      </c>
    </row>
    <row r="8" spans="2:5" ht="36" customHeight="1" x14ac:dyDescent="0.3">
      <c r="B8" s="51" t="s">
        <v>64</v>
      </c>
      <c r="C8" s="51" t="s">
        <v>353</v>
      </c>
      <c r="D8" s="19" t="s">
        <v>354</v>
      </c>
      <c r="E8" s="19" t="s">
        <v>355</v>
      </c>
    </row>
    <row r="9" spans="2:5" ht="36" customHeight="1" x14ac:dyDescent="0.3">
      <c r="B9" s="44" t="s">
        <v>67</v>
      </c>
      <c r="C9" s="44" t="s">
        <v>356</v>
      </c>
      <c r="D9" s="49" t="s">
        <v>357</v>
      </c>
      <c r="E9" s="49" t="s">
        <v>358</v>
      </c>
    </row>
    <row r="10" spans="2:5" ht="36" customHeight="1" x14ac:dyDescent="0.3">
      <c r="B10" s="51" t="s">
        <v>69</v>
      </c>
      <c r="C10" s="51" t="s">
        <v>288</v>
      </c>
      <c r="D10" s="19" t="s">
        <v>359</v>
      </c>
      <c r="E10" s="19" t="s">
        <v>360</v>
      </c>
    </row>
    <row r="11" spans="2:5" ht="36" customHeight="1" x14ac:dyDescent="0.3">
      <c r="B11" s="22" t="s">
        <v>361</v>
      </c>
      <c r="C11" s="22" t="s">
        <v>293</v>
      </c>
      <c r="D11" s="23" t="s">
        <v>362</v>
      </c>
      <c r="E11" s="23" t="s">
        <v>358</v>
      </c>
    </row>
    <row r="12" spans="2:5" ht="10.15" customHeight="1" x14ac:dyDescent="0.3"/>
    <row r="13" spans="2:5" ht="16.2" customHeight="1" x14ac:dyDescent="0.3">
      <c r="B13" s="109" t="s">
        <v>363</v>
      </c>
      <c r="C13" s="110"/>
      <c r="D13" s="110"/>
      <c r="E13" s="110"/>
    </row>
    <row r="14" spans="2:5" ht="18" customHeight="1" x14ac:dyDescent="0.3">
      <c r="B14" s="76" t="s">
        <v>364</v>
      </c>
      <c r="C14" s="76" t="s">
        <v>365</v>
      </c>
      <c r="D14" s="76" t="s">
        <v>366</v>
      </c>
      <c r="E14" s="76"/>
    </row>
    <row r="15" spans="2:5" ht="28.15" customHeight="1" x14ac:dyDescent="0.3">
      <c r="B15" s="79" t="s">
        <v>367</v>
      </c>
      <c r="C15" s="49" t="s">
        <v>368</v>
      </c>
      <c r="D15" s="134" t="s">
        <v>369</v>
      </c>
      <c r="E15" s="110"/>
    </row>
    <row r="16" spans="2:5" ht="28.15" customHeight="1" x14ac:dyDescent="0.3">
      <c r="B16" s="79" t="s">
        <v>370</v>
      </c>
      <c r="C16" s="19" t="s">
        <v>371</v>
      </c>
      <c r="D16" s="134" t="s">
        <v>372</v>
      </c>
      <c r="E16" s="110"/>
    </row>
    <row r="17" spans="2:5" ht="28.15" customHeight="1" x14ac:dyDescent="0.3">
      <c r="B17" s="79" t="s">
        <v>373</v>
      </c>
      <c r="C17" s="49" t="s">
        <v>374</v>
      </c>
      <c r="D17" s="134" t="s">
        <v>375</v>
      </c>
      <c r="E17" s="110"/>
    </row>
    <row r="18" spans="2:5" ht="28.15" customHeight="1" x14ac:dyDescent="0.3">
      <c r="B18" s="79" t="s">
        <v>376</v>
      </c>
      <c r="C18" s="19" t="s">
        <v>377</v>
      </c>
      <c r="D18" s="134" t="s">
        <v>378</v>
      </c>
      <c r="E18" s="110"/>
    </row>
    <row r="19" spans="2:5" ht="28.15" customHeight="1" x14ac:dyDescent="0.3">
      <c r="B19" s="79" t="s">
        <v>379</v>
      </c>
      <c r="C19" s="49" t="s">
        <v>380</v>
      </c>
      <c r="D19" s="134" t="s">
        <v>381</v>
      </c>
      <c r="E19" s="110"/>
    </row>
    <row r="20" spans="2:5" ht="28.15" customHeight="1" x14ac:dyDescent="0.3">
      <c r="B20" s="79" t="s">
        <v>382</v>
      </c>
      <c r="C20" s="19" t="s">
        <v>383</v>
      </c>
      <c r="D20" s="134" t="s">
        <v>384</v>
      </c>
      <c r="E20" s="110"/>
    </row>
    <row r="21" spans="2:5" ht="28.15" customHeight="1" x14ac:dyDescent="0.3">
      <c r="B21" s="79" t="s">
        <v>385</v>
      </c>
      <c r="C21" s="49" t="s">
        <v>386</v>
      </c>
      <c r="D21" s="134" t="s">
        <v>387</v>
      </c>
      <c r="E21" s="110"/>
    </row>
  </sheetData>
  <mergeCells count="10">
    <mergeCell ref="D21:E21"/>
    <mergeCell ref="D20:E20"/>
    <mergeCell ref="D16:E16"/>
    <mergeCell ref="B1:E1"/>
    <mergeCell ref="D15:E15"/>
    <mergeCell ref="D19:E19"/>
    <mergeCell ref="B13:E13"/>
    <mergeCell ref="B2:E2"/>
    <mergeCell ref="D18:E18"/>
    <mergeCell ref="D17:E17"/>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G36"/>
  <sheetViews>
    <sheetView showGridLines="0" topLeftCell="A10" workbookViewId="0"/>
  </sheetViews>
  <sheetFormatPr defaultRowHeight="14.4" x14ac:dyDescent="0.3"/>
  <cols>
    <col min="1" max="1" width="3" customWidth="1"/>
    <col min="2" max="2" width="22" customWidth="1"/>
    <col min="3" max="3" width="8" customWidth="1"/>
    <col min="4" max="7" width="20" customWidth="1"/>
    <col min="8" max="8" width="5" customWidth="1"/>
  </cols>
  <sheetData>
    <row r="1" spans="2:7" ht="31.85" customHeight="1" x14ac:dyDescent="0.3">
      <c r="B1" s="116" t="s">
        <v>388</v>
      </c>
      <c r="C1" s="110"/>
      <c r="D1" s="110"/>
      <c r="E1" s="110"/>
      <c r="F1" s="110"/>
      <c r="G1" s="110"/>
    </row>
    <row r="2" spans="2:7" ht="18" customHeight="1" x14ac:dyDescent="0.3">
      <c r="B2" s="121" t="s">
        <v>389</v>
      </c>
      <c r="C2" s="110"/>
      <c r="D2" s="110"/>
      <c r="E2" s="110"/>
      <c r="F2" s="110"/>
      <c r="G2" s="110"/>
    </row>
    <row r="3" spans="2:7" ht="10.15" customHeight="1" x14ac:dyDescent="0.3"/>
    <row r="4" spans="2:7" ht="16.2" customHeight="1" x14ac:dyDescent="0.3">
      <c r="B4" s="109" t="s">
        <v>390</v>
      </c>
      <c r="C4" s="110"/>
      <c r="D4" s="110"/>
      <c r="E4" s="110"/>
      <c r="F4" s="110"/>
      <c r="G4" s="110"/>
    </row>
    <row r="5" spans="2:7" ht="23.95" customHeight="1" x14ac:dyDescent="0.3">
      <c r="B5" s="18" t="s">
        <v>391</v>
      </c>
      <c r="C5" s="18" t="s">
        <v>392</v>
      </c>
      <c r="D5" s="18" t="s">
        <v>105</v>
      </c>
      <c r="E5" s="18" t="s">
        <v>393</v>
      </c>
      <c r="F5" s="18" t="s">
        <v>394</v>
      </c>
      <c r="G5" s="18" t="s">
        <v>395</v>
      </c>
    </row>
    <row r="6" spans="2:7" ht="48.05" customHeight="1" x14ac:dyDescent="0.3">
      <c r="B6" s="22" t="s">
        <v>396</v>
      </c>
      <c r="C6" s="22">
        <v>3</v>
      </c>
      <c r="D6" s="22" t="s">
        <v>397</v>
      </c>
      <c r="E6" s="20" t="s">
        <v>398</v>
      </c>
      <c r="F6" s="25" t="s">
        <v>399</v>
      </c>
      <c r="G6" s="29" t="s">
        <v>400</v>
      </c>
    </row>
    <row r="7" spans="2:7" ht="48.05" customHeight="1" x14ac:dyDescent="0.3">
      <c r="B7" s="21" t="s">
        <v>401</v>
      </c>
      <c r="C7" s="21">
        <v>3</v>
      </c>
      <c r="D7" s="21" t="s">
        <v>397</v>
      </c>
      <c r="E7" s="20" t="s">
        <v>402</v>
      </c>
      <c r="F7" s="25" t="s">
        <v>403</v>
      </c>
      <c r="G7" s="29" t="s">
        <v>404</v>
      </c>
    </row>
    <row r="8" spans="2:7" ht="48.05" customHeight="1" x14ac:dyDescent="0.3">
      <c r="B8" s="24" t="s">
        <v>405</v>
      </c>
      <c r="C8" s="24">
        <v>2</v>
      </c>
      <c r="D8" s="24" t="s">
        <v>406</v>
      </c>
      <c r="E8" s="20" t="s">
        <v>407</v>
      </c>
      <c r="F8" s="25" t="s">
        <v>408</v>
      </c>
      <c r="G8" s="29" t="s">
        <v>409</v>
      </c>
    </row>
    <row r="9" spans="2:7" ht="48.05" customHeight="1" x14ac:dyDescent="0.3">
      <c r="B9" s="37" t="s">
        <v>410</v>
      </c>
      <c r="C9" s="37">
        <v>3</v>
      </c>
      <c r="D9" s="37" t="s">
        <v>397</v>
      </c>
      <c r="E9" s="20" t="s">
        <v>411</v>
      </c>
      <c r="F9" s="25" t="s">
        <v>412</v>
      </c>
      <c r="G9" s="29" t="s">
        <v>413</v>
      </c>
    </row>
    <row r="10" spans="2:7" ht="48.05" customHeight="1" x14ac:dyDescent="0.3">
      <c r="B10" s="44" t="s">
        <v>414</v>
      </c>
      <c r="C10" s="44">
        <v>2</v>
      </c>
      <c r="D10" s="44" t="s">
        <v>406</v>
      </c>
      <c r="E10" s="20" t="s">
        <v>415</v>
      </c>
      <c r="F10" s="25" t="s">
        <v>416</v>
      </c>
      <c r="G10" s="29" t="s">
        <v>417</v>
      </c>
    </row>
    <row r="11" spans="2:7" ht="48.05" customHeight="1" x14ac:dyDescent="0.3">
      <c r="B11" s="51" t="s">
        <v>418</v>
      </c>
      <c r="C11" s="51">
        <v>1</v>
      </c>
      <c r="D11" s="51" t="s">
        <v>419</v>
      </c>
      <c r="E11" s="20" t="s">
        <v>420</v>
      </c>
      <c r="F11" s="25" t="s">
        <v>421</v>
      </c>
      <c r="G11" s="29" t="s">
        <v>422</v>
      </c>
    </row>
    <row r="12" spans="2:7" ht="48.05" customHeight="1" x14ac:dyDescent="0.3">
      <c r="B12" s="22" t="s">
        <v>423</v>
      </c>
      <c r="C12" s="22">
        <v>1</v>
      </c>
      <c r="D12" s="22" t="s">
        <v>419</v>
      </c>
      <c r="E12" s="20" t="s">
        <v>424</v>
      </c>
      <c r="F12" s="25" t="s">
        <v>425</v>
      </c>
      <c r="G12" s="29" t="s">
        <v>426</v>
      </c>
    </row>
    <row r="13" spans="2:7" ht="23.95" customHeight="1" x14ac:dyDescent="0.3">
      <c r="B13" s="138" t="s">
        <v>427</v>
      </c>
      <c r="C13" s="110"/>
      <c r="D13" s="110"/>
      <c r="E13" s="80">
        <f>SUM(C6:C12)</f>
        <v>15</v>
      </c>
      <c r="F13" s="138" t="s">
        <v>428</v>
      </c>
      <c r="G13" s="110"/>
    </row>
    <row r="14" spans="2:7" ht="10.15" customHeight="1" x14ac:dyDescent="0.3"/>
    <row r="15" spans="2:7" ht="16.2" customHeight="1" x14ac:dyDescent="0.3">
      <c r="B15" s="109" t="s">
        <v>429</v>
      </c>
      <c r="C15" s="110"/>
      <c r="D15" s="110"/>
      <c r="E15" s="110"/>
      <c r="F15" s="110"/>
      <c r="G15" s="110"/>
    </row>
    <row r="16" spans="2:7" ht="18" customHeight="1" x14ac:dyDescent="0.3">
      <c r="B16" s="18" t="s">
        <v>392</v>
      </c>
      <c r="C16" s="18" t="s">
        <v>430</v>
      </c>
      <c r="D16" s="18" t="s">
        <v>431</v>
      </c>
      <c r="E16" s="18"/>
      <c r="F16" s="18"/>
      <c r="G16" s="18"/>
    </row>
    <row r="17" spans="2:7" ht="23.95" customHeight="1" x14ac:dyDescent="0.3">
      <c r="B17" s="81" t="s">
        <v>432</v>
      </c>
      <c r="C17" s="21" t="s">
        <v>433</v>
      </c>
      <c r="D17" s="135" t="s">
        <v>434</v>
      </c>
      <c r="E17" s="110"/>
      <c r="F17" s="110"/>
      <c r="G17" s="110"/>
    </row>
    <row r="18" spans="2:7" ht="23.95" customHeight="1" x14ac:dyDescent="0.3">
      <c r="B18" s="82" t="s">
        <v>435</v>
      </c>
      <c r="C18" s="22" t="s">
        <v>436</v>
      </c>
      <c r="D18" s="136" t="s">
        <v>437</v>
      </c>
      <c r="E18" s="110"/>
      <c r="F18" s="110"/>
      <c r="G18" s="110"/>
    </row>
    <row r="19" spans="2:7" ht="23.95" customHeight="1" x14ac:dyDescent="0.3">
      <c r="B19" s="83" t="s">
        <v>438</v>
      </c>
      <c r="C19" s="24" t="s">
        <v>439</v>
      </c>
      <c r="D19" s="140" t="s">
        <v>440</v>
      </c>
      <c r="E19" s="110"/>
      <c r="F19" s="110"/>
      <c r="G19" s="110"/>
    </row>
    <row r="20" spans="2:7" ht="23.95" customHeight="1" x14ac:dyDescent="0.3">
      <c r="B20" s="84" t="s">
        <v>441</v>
      </c>
      <c r="C20" s="26" t="s">
        <v>442</v>
      </c>
      <c r="D20" s="139" t="s">
        <v>443</v>
      </c>
      <c r="E20" s="110"/>
      <c r="F20" s="110"/>
      <c r="G20" s="110"/>
    </row>
    <row r="21" spans="2:7" ht="23.95" customHeight="1" x14ac:dyDescent="0.3">
      <c r="B21" s="85" t="s">
        <v>444</v>
      </c>
      <c r="C21" s="28" t="s">
        <v>445</v>
      </c>
      <c r="D21" s="141" t="s">
        <v>446</v>
      </c>
      <c r="E21" s="110"/>
      <c r="F21" s="110"/>
      <c r="G21" s="110"/>
    </row>
    <row r="22" spans="2:7" ht="10.15" customHeight="1" x14ac:dyDescent="0.3"/>
    <row r="23" spans="2:7" ht="16.2" customHeight="1" x14ac:dyDescent="0.3">
      <c r="B23" s="109" t="s">
        <v>447</v>
      </c>
      <c r="C23" s="110"/>
      <c r="D23" s="110"/>
      <c r="E23" s="110"/>
      <c r="F23" s="110"/>
      <c r="G23" s="110"/>
    </row>
    <row r="24" spans="2:7" ht="18" customHeight="1" x14ac:dyDescent="0.3">
      <c r="B24" s="18" t="s">
        <v>53</v>
      </c>
      <c r="C24" s="137" t="s">
        <v>243</v>
      </c>
      <c r="D24" s="120"/>
      <c r="E24" s="18"/>
      <c r="F24" s="18" t="s">
        <v>448</v>
      </c>
      <c r="G24" s="18" t="s">
        <v>392</v>
      </c>
    </row>
    <row r="25" spans="2:7" ht="19.95" customHeight="1" x14ac:dyDescent="0.3">
      <c r="B25" s="59" t="s">
        <v>57</v>
      </c>
      <c r="C25" s="128" t="s">
        <v>449</v>
      </c>
      <c r="D25" s="110"/>
      <c r="E25" s="110"/>
      <c r="F25" s="60"/>
      <c r="G25" s="60"/>
    </row>
    <row r="26" spans="2:7" ht="19.95" customHeight="1" x14ac:dyDescent="0.3">
      <c r="B26" s="62" t="s">
        <v>60</v>
      </c>
      <c r="C26" s="117" t="s">
        <v>450</v>
      </c>
      <c r="D26" s="110"/>
      <c r="E26" s="110"/>
      <c r="F26" s="60"/>
      <c r="G26" s="60"/>
    </row>
    <row r="27" spans="2:7" ht="19.95" customHeight="1" x14ac:dyDescent="0.3">
      <c r="B27" s="59" t="s">
        <v>62</v>
      </c>
      <c r="C27" s="128" t="s">
        <v>451</v>
      </c>
      <c r="D27" s="110"/>
      <c r="E27" s="110"/>
      <c r="F27" s="60"/>
      <c r="G27" s="60"/>
    </row>
    <row r="28" spans="2:7" ht="19.95" customHeight="1" x14ac:dyDescent="0.3">
      <c r="B28" s="62" t="s">
        <v>64</v>
      </c>
      <c r="C28" s="117" t="s">
        <v>452</v>
      </c>
      <c r="D28" s="110"/>
      <c r="E28" s="110"/>
      <c r="F28" s="60"/>
      <c r="G28" s="60"/>
    </row>
    <row r="29" spans="2:7" ht="19.95" customHeight="1" x14ac:dyDescent="0.3">
      <c r="B29" s="59" t="s">
        <v>67</v>
      </c>
      <c r="C29" s="128" t="s">
        <v>453</v>
      </c>
      <c r="D29" s="110"/>
      <c r="E29" s="110"/>
      <c r="F29" s="60"/>
      <c r="G29" s="60"/>
    </row>
    <row r="30" spans="2:7" ht="19.95" customHeight="1" x14ac:dyDescent="0.3">
      <c r="B30" s="62" t="s">
        <v>69</v>
      </c>
      <c r="C30" s="117" t="s">
        <v>454</v>
      </c>
      <c r="D30" s="110"/>
      <c r="E30" s="110"/>
      <c r="F30" s="60"/>
      <c r="G30" s="60"/>
    </row>
    <row r="31" spans="2:7" ht="19.95" customHeight="1" x14ac:dyDescent="0.3">
      <c r="B31" s="59" t="s">
        <v>361</v>
      </c>
      <c r="C31" s="128" t="s">
        <v>455</v>
      </c>
      <c r="D31" s="110"/>
      <c r="E31" s="110"/>
      <c r="F31" s="60"/>
      <c r="G31" s="60"/>
    </row>
    <row r="32" spans="2:7" ht="19.95" customHeight="1" x14ac:dyDescent="0.3">
      <c r="B32" s="62" t="s">
        <v>456</v>
      </c>
      <c r="C32" s="117" t="s">
        <v>457</v>
      </c>
      <c r="D32" s="110"/>
      <c r="E32" s="110"/>
      <c r="F32" s="60"/>
      <c r="G32" s="60"/>
    </row>
    <row r="33" spans="2:7" ht="19.95" customHeight="1" x14ac:dyDescent="0.3">
      <c r="B33" s="59" t="s">
        <v>458</v>
      </c>
      <c r="C33" s="128" t="s">
        <v>459</v>
      </c>
      <c r="D33" s="110"/>
      <c r="E33" s="110"/>
      <c r="F33" s="60"/>
      <c r="G33" s="60"/>
    </row>
    <row r="34" spans="2:7" ht="19.95" customHeight="1" x14ac:dyDescent="0.3">
      <c r="B34" s="62" t="s">
        <v>460</v>
      </c>
      <c r="C34" s="117" t="s">
        <v>461</v>
      </c>
      <c r="D34" s="110"/>
      <c r="E34" s="110"/>
      <c r="F34" s="60"/>
      <c r="G34" s="60"/>
    </row>
    <row r="35" spans="2:7" ht="19.95" customHeight="1" x14ac:dyDescent="0.3">
      <c r="B35" s="59" t="s">
        <v>462</v>
      </c>
      <c r="C35" s="128" t="s">
        <v>463</v>
      </c>
      <c r="D35" s="110"/>
      <c r="E35" s="110"/>
      <c r="F35" s="60"/>
      <c r="G35" s="60"/>
    </row>
    <row r="36" spans="2:7" ht="19.95" customHeight="1" x14ac:dyDescent="0.3">
      <c r="B36" s="62" t="s">
        <v>464</v>
      </c>
      <c r="C36" s="117" t="s">
        <v>465</v>
      </c>
      <c r="D36" s="110"/>
      <c r="E36" s="110"/>
      <c r="F36" s="60"/>
      <c r="G36" s="60"/>
    </row>
  </sheetData>
  <mergeCells count="25">
    <mergeCell ref="C35:E35"/>
    <mergeCell ref="C25:E25"/>
    <mergeCell ref="B1:G1"/>
    <mergeCell ref="B13:D13"/>
    <mergeCell ref="C36:E36"/>
    <mergeCell ref="C27:E27"/>
    <mergeCell ref="D20:G20"/>
    <mergeCell ref="D19:G19"/>
    <mergeCell ref="B15:G15"/>
    <mergeCell ref="C32:E32"/>
    <mergeCell ref="C28:E28"/>
    <mergeCell ref="D21:G21"/>
    <mergeCell ref="B4:G4"/>
    <mergeCell ref="F13:G13"/>
    <mergeCell ref="C30:E30"/>
    <mergeCell ref="C34:E34"/>
    <mergeCell ref="C33:E33"/>
    <mergeCell ref="D17:G17"/>
    <mergeCell ref="B2:G2"/>
    <mergeCell ref="D18:G18"/>
    <mergeCell ref="C24:D24"/>
    <mergeCell ref="C31:E31"/>
    <mergeCell ref="B23:G23"/>
    <mergeCell ref="C26:E26"/>
    <mergeCell ref="C29:E29"/>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G26"/>
  <sheetViews>
    <sheetView showGridLines="0" topLeftCell="A10" workbookViewId="0"/>
  </sheetViews>
  <sheetFormatPr defaultRowHeight="14.4" x14ac:dyDescent="0.3"/>
  <cols>
    <col min="1" max="1" width="3" customWidth="1"/>
    <col min="2" max="2" width="5" customWidth="1"/>
    <col min="3" max="3" width="22" customWidth="1"/>
    <col min="4" max="5" width="20" customWidth="1"/>
    <col min="6" max="6" width="8" customWidth="1"/>
    <col min="7" max="7" width="22" customWidth="1"/>
    <col min="8" max="8" width="5" customWidth="1"/>
  </cols>
  <sheetData>
    <row r="1" spans="2:7" ht="31.85" customHeight="1" x14ac:dyDescent="0.3">
      <c r="B1" s="116" t="s">
        <v>466</v>
      </c>
      <c r="C1" s="110"/>
      <c r="D1" s="110"/>
      <c r="E1" s="110"/>
      <c r="F1" s="110"/>
      <c r="G1" s="110"/>
    </row>
    <row r="2" spans="2:7" ht="7.9" customHeight="1" x14ac:dyDescent="0.3"/>
    <row r="3" spans="2:7" ht="22.15" customHeight="1" x14ac:dyDescent="0.3">
      <c r="B3" s="18" t="s">
        <v>53</v>
      </c>
      <c r="C3" s="18" t="s">
        <v>276</v>
      </c>
      <c r="D3" s="18" t="s">
        <v>467</v>
      </c>
      <c r="E3" s="18" t="s">
        <v>468</v>
      </c>
      <c r="F3" s="18" t="s">
        <v>105</v>
      </c>
      <c r="G3" s="18" t="s">
        <v>469</v>
      </c>
    </row>
    <row r="4" spans="2:7" ht="41.95" customHeight="1" x14ac:dyDescent="0.3">
      <c r="B4" s="86">
        <v>1</v>
      </c>
      <c r="C4" s="87" t="s">
        <v>470</v>
      </c>
      <c r="D4" s="88" t="s">
        <v>471</v>
      </c>
      <c r="E4" s="22" t="s">
        <v>472</v>
      </c>
      <c r="F4" s="30" t="s">
        <v>109</v>
      </c>
      <c r="G4" s="19" t="s">
        <v>473</v>
      </c>
    </row>
    <row r="5" spans="2:7" ht="41.95" customHeight="1" x14ac:dyDescent="0.3">
      <c r="B5" s="89">
        <v>2</v>
      </c>
      <c r="C5" s="90" t="s">
        <v>474</v>
      </c>
      <c r="D5" s="91" t="s">
        <v>475</v>
      </c>
      <c r="E5" s="51" t="s">
        <v>476</v>
      </c>
      <c r="F5" s="92" t="s">
        <v>111</v>
      </c>
      <c r="G5" s="19" t="s">
        <v>477</v>
      </c>
    </row>
    <row r="6" spans="2:7" ht="41.95" customHeight="1" x14ac:dyDescent="0.3">
      <c r="B6" s="93">
        <v>3</v>
      </c>
      <c r="C6" s="94" t="s">
        <v>478</v>
      </c>
      <c r="D6" s="95" t="s">
        <v>479</v>
      </c>
      <c r="E6" s="37" t="s">
        <v>480</v>
      </c>
      <c r="F6" s="38" t="s">
        <v>113</v>
      </c>
      <c r="G6" s="19" t="s">
        <v>481</v>
      </c>
    </row>
    <row r="7" spans="2:7" ht="41.95" customHeight="1" x14ac:dyDescent="0.3">
      <c r="B7" s="64">
        <v>4</v>
      </c>
      <c r="C7" s="96" t="s">
        <v>482</v>
      </c>
      <c r="D7" s="97" t="s">
        <v>483</v>
      </c>
      <c r="E7" s="24" t="s">
        <v>484</v>
      </c>
      <c r="F7" s="41" t="s">
        <v>109</v>
      </c>
      <c r="G7" s="19" t="s">
        <v>485</v>
      </c>
    </row>
    <row r="8" spans="2:7" ht="41.95" customHeight="1" x14ac:dyDescent="0.3">
      <c r="B8" s="98">
        <v>5</v>
      </c>
      <c r="C8" s="99" t="s">
        <v>320</v>
      </c>
      <c r="D8" s="100" t="s">
        <v>486</v>
      </c>
      <c r="E8" s="44" t="s">
        <v>487</v>
      </c>
      <c r="F8" s="45" t="s">
        <v>109</v>
      </c>
      <c r="G8" s="19" t="s">
        <v>488</v>
      </c>
    </row>
    <row r="9" spans="2:7" ht="41.95" customHeight="1" x14ac:dyDescent="0.3">
      <c r="B9" s="101">
        <v>6</v>
      </c>
      <c r="C9" s="102" t="s">
        <v>316</v>
      </c>
      <c r="D9" s="103" t="s">
        <v>489</v>
      </c>
      <c r="E9" s="21" t="s">
        <v>490</v>
      </c>
      <c r="F9" s="34" t="s">
        <v>109</v>
      </c>
      <c r="G9" s="19" t="s">
        <v>491</v>
      </c>
    </row>
    <row r="10" spans="2:7" ht="41.95" customHeight="1" x14ac:dyDescent="0.3">
      <c r="B10" s="89">
        <v>7</v>
      </c>
      <c r="C10" s="90" t="s">
        <v>492</v>
      </c>
      <c r="D10" s="91" t="s">
        <v>493</v>
      </c>
      <c r="E10" s="51" t="s">
        <v>494</v>
      </c>
      <c r="F10" s="92" t="s">
        <v>118</v>
      </c>
      <c r="G10" s="19" t="s">
        <v>495</v>
      </c>
    </row>
    <row r="11" spans="2:7" ht="41.95" customHeight="1" x14ac:dyDescent="0.3">
      <c r="B11" s="86">
        <v>8</v>
      </c>
      <c r="C11" s="87" t="s">
        <v>496</v>
      </c>
      <c r="D11" s="88" t="s">
        <v>497</v>
      </c>
      <c r="E11" s="22" t="s">
        <v>498</v>
      </c>
      <c r="F11" s="30" t="s">
        <v>113</v>
      </c>
      <c r="G11" s="19" t="s">
        <v>499</v>
      </c>
    </row>
    <row r="12" spans="2:7" ht="10.15" customHeight="1" x14ac:dyDescent="0.3"/>
    <row r="13" spans="2:7" ht="16.2" customHeight="1" x14ac:dyDescent="0.3">
      <c r="B13" s="109" t="s">
        <v>500</v>
      </c>
      <c r="C13" s="110"/>
      <c r="D13" s="110"/>
      <c r="E13" s="110"/>
      <c r="F13" s="110"/>
      <c r="G13" s="110"/>
    </row>
    <row r="14" spans="2:7" ht="18" customHeight="1" x14ac:dyDescent="0.3">
      <c r="B14" s="17" t="s">
        <v>501</v>
      </c>
      <c r="C14" s="119" t="s">
        <v>502</v>
      </c>
      <c r="D14" s="122"/>
      <c r="E14" s="120"/>
      <c r="F14" s="119" t="s">
        <v>503</v>
      </c>
      <c r="G14" s="120"/>
    </row>
    <row r="15" spans="2:7" ht="30.05" customHeight="1" x14ac:dyDescent="0.3">
      <c r="B15" s="24" t="s">
        <v>504</v>
      </c>
      <c r="C15" s="128" t="s">
        <v>505</v>
      </c>
      <c r="D15" s="110"/>
      <c r="E15" s="110"/>
      <c r="F15" s="142" t="s">
        <v>506</v>
      </c>
      <c r="G15" s="110"/>
    </row>
    <row r="16" spans="2:7" ht="30.05" customHeight="1" x14ac:dyDescent="0.3">
      <c r="B16" s="24" t="s">
        <v>507</v>
      </c>
      <c r="C16" s="117" t="s">
        <v>508</v>
      </c>
      <c r="D16" s="110"/>
      <c r="E16" s="110"/>
      <c r="F16" s="142" t="s">
        <v>509</v>
      </c>
      <c r="G16" s="110"/>
    </row>
    <row r="17" spans="2:7" ht="30.05" customHeight="1" x14ac:dyDescent="0.3">
      <c r="B17" s="24" t="s">
        <v>510</v>
      </c>
      <c r="C17" s="128" t="s">
        <v>511</v>
      </c>
      <c r="D17" s="110"/>
      <c r="E17" s="110"/>
      <c r="F17" s="142" t="s">
        <v>512</v>
      </c>
      <c r="G17" s="110"/>
    </row>
    <row r="18" spans="2:7" ht="30.05" customHeight="1" x14ac:dyDescent="0.3">
      <c r="B18" s="24" t="s">
        <v>513</v>
      </c>
      <c r="C18" s="117" t="s">
        <v>514</v>
      </c>
      <c r="D18" s="110"/>
      <c r="E18" s="110"/>
      <c r="F18" s="142" t="s">
        <v>515</v>
      </c>
      <c r="G18" s="110"/>
    </row>
    <row r="19" spans="2:7" ht="10.15" customHeight="1" x14ac:dyDescent="0.3"/>
    <row r="20" spans="2:7" ht="16.2" customHeight="1" x14ac:dyDescent="0.3">
      <c r="B20" s="109" t="s">
        <v>516</v>
      </c>
      <c r="C20" s="110"/>
      <c r="D20" s="110"/>
      <c r="E20" s="110"/>
      <c r="F20" s="110"/>
      <c r="G20" s="110"/>
    </row>
    <row r="21" spans="2:7" ht="18" customHeight="1" x14ac:dyDescent="0.3">
      <c r="B21" s="18" t="s">
        <v>72</v>
      </c>
      <c r="C21" s="18" t="s">
        <v>73</v>
      </c>
      <c r="D21" s="137" t="s">
        <v>74</v>
      </c>
      <c r="E21" s="120"/>
      <c r="F21" s="137" t="s">
        <v>517</v>
      </c>
      <c r="G21" s="120"/>
    </row>
    <row r="22" spans="2:7" ht="23.95" customHeight="1" x14ac:dyDescent="0.3">
      <c r="B22" s="104">
        <v>5</v>
      </c>
      <c r="C22" s="81" t="s">
        <v>76</v>
      </c>
      <c r="D22" s="135" t="s">
        <v>77</v>
      </c>
      <c r="E22" s="110"/>
      <c r="F22" s="143" t="s">
        <v>78</v>
      </c>
      <c r="G22" s="110"/>
    </row>
    <row r="23" spans="2:7" ht="23.95" customHeight="1" x14ac:dyDescent="0.3">
      <c r="B23" s="105">
        <v>4</v>
      </c>
      <c r="C23" s="82" t="s">
        <v>79</v>
      </c>
      <c r="D23" s="136" t="s">
        <v>80</v>
      </c>
      <c r="E23" s="110"/>
      <c r="F23" s="143" t="s">
        <v>81</v>
      </c>
      <c r="G23" s="110"/>
    </row>
    <row r="24" spans="2:7" ht="23.95" customHeight="1" x14ac:dyDescent="0.3">
      <c r="B24" s="54">
        <v>3</v>
      </c>
      <c r="C24" s="83" t="s">
        <v>82</v>
      </c>
      <c r="D24" s="140" t="s">
        <v>83</v>
      </c>
      <c r="E24" s="110"/>
      <c r="F24" s="143" t="s">
        <v>84</v>
      </c>
      <c r="G24" s="110"/>
    </row>
    <row r="25" spans="2:7" ht="23.95" customHeight="1" x14ac:dyDescent="0.3">
      <c r="B25" s="106">
        <v>2</v>
      </c>
      <c r="C25" s="84" t="s">
        <v>85</v>
      </c>
      <c r="D25" s="139" t="s">
        <v>86</v>
      </c>
      <c r="E25" s="110"/>
      <c r="F25" s="143" t="s">
        <v>87</v>
      </c>
      <c r="G25" s="110"/>
    </row>
    <row r="26" spans="2:7" ht="23.95" customHeight="1" x14ac:dyDescent="0.3">
      <c r="B26" s="107">
        <v>1</v>
      </c>
      <c r="C26" s="85" t="s">
        <v>88</v>
      </c>
      <c r="D26" s="141" t="s">
        <v>89</v>
      </c>
      <c r="E26" s="110"/>
      <c r="F26" s="143" t="s">
        <v>90</v>
      </c>
      <c r="G26" s="110"/>
    </row>
  </sheetData>
  <mergeCells count="25">
    <mergeCell ref="F26:G26"/>
    <mergeCell ref="F17:G17"/>
    <mergeCell ref="B20:G20"/>
    <mergeCell ref="F23:G23"/>
    <mergeCell ref="C18:E18"/>
    <mergeCell ref="F22:G22"/>
    <mergeCell ref="D25:E25"/>
    <mergeCell ref="D24:E24"/>
    <mergeCell ref="D23:E23"/>
    <mergeCell ref="D26:E26"/>
    <mergeCell ref="C16:E16"/>
    <mergeCell ref="F16:G16"/>
    <mergeCell ref="F25:G25"/>
    <mergeCell ref="B1:G1"/>
    <mergeCell ref="D22:E22"/>
    <mergeCell ref="B13:G13"/>
    <mergeCell ref="D21:E21"/>
    <mergeCell ref="F21:G21"/>
    <mergeCell ref="F24:G24"/>
    <mergeCell ref="F15:G15"/>
    <mergeCell ref="F18:G18"/>
    <mergeCell ref="C17:E17"/>
    <mergeCell ref="C15:E15"/>
    <mergeCell ref="C14:E14"/>
    <mergeCell ref="F14:G1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 Session Setup</vt:lpstr>
      <vt:lpstr>🔍 Exp A — Walkthrough</vt:lpstr>
      <vt:lpstr>📱 Exp B — App 1 (Ch 1–4)</vt:lpstr>
      <vt:lpstr>📱 Exp C — App 1 (All 8)</vt:lpstr>
      <vt:lpstr>Exp D ---  Walkthrough</vt:lpstr>
      <vt:lpstr>📱 Exp D — App 2 (Ch 1–4) </vt:lpstr>
      <vt:lpstr>📱 Exp D — App 2 (All 8)</vt:lpstr>
      <vt:lpstr>📊 Exp D — Comparative</vt:lpstr>
      <vt:lpstr>💡 Recommendations</vt:lpstr>
      <vt:lpstr>📄 Report Outline</vt:lpstr>
      <vt:lpstr>🏆 Grading Rubric</vt:lpstr>
      <vt:lpstr>📖 ISO 25010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Usman</cp:lastModifiedBy>
  <cp:lastPrinted>2026-04-22T14:02:41Z</cp:lastPrinted>
  <dcterms:created xsi:type="dcterms:W3CDTF">2026-04-14T07:57:04Z</dcterms:created>
  <dcterms:modified xsi:type="dcterms:W3CDTF">2026-04-22T14:55:48Z</dcterms:modified>
</cp:coreProperties>
</file>